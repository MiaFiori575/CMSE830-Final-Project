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e\CMSE830\myproject\"/>
    </mc:Choice>
  </mc:AlternateContent>
  <xr:revisionPtr revIDLastSave="0" documentId="13_ncr:1_{51439F97-A854-44DF-BDF5-9EFFC5636916}" xr6:coauthVersionLast="47" xr6:coauthVersionMax="47" xr10:uidLastSave="{00000000-0000-0000-0000-000000000000}"/>
  <bookViews>
    <workbookView xWindow="-108" yWindow="-108" windowWidth="23256" windowHeight="12456" activeTab="2" xr2:uid="{BA5426C7-8899-498B-A77E-9521FF34D10A}"/>
  </bookViews>
  <sheets>
    <sheet name="Master Physiochem" sheetId="1" r:id="rId1"/>
    <sheet name="TSS" sheetId="3" r:id="rId2"/>
    <sheet name="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9" i="2" l="1"/>
  <c r="E98" i="2"/>
  <c r="E102" i="2"/>
  <c r="E101" i="2"/>
  <c r="E105" i="2"/>
  <c r="E97" i="2"/>
  <c r="E96" i="2"/>
  <c r="E95" i="2"/>
  <c r="E94" i="2"/>
  <c r="E93" i="2"/>
  <c r="E92" i="2"/>
  <c r="E91" i="2"/>
  <c r="E90" i="2"/>
  <c r="E89" i="2"/>
  <c r="E88" i="2"/>
  <c r="E87" i="2"/>
  <c r="E86" i="2"/>
  <c r="E84" i="2"/>
  <c r="E85" i="2"/>
  <c r="E104" i="2"/>
  <c r="E83" i="2"/>
  <c r="E82" i="2"/>
  <c r="E81" i="2"/>
  <c r="E80" i="2"/>
  <c r="E79" i="2"/>
  <c r="E78" i="2"/>
  <c r="E77" i="2"/>
  <c r="E76" i="2"/>
  <c r="E75" i="2"/>
  <c r="E74" i="2"/>
  <c r="C84" i="2"/>
  <c r="E100" i="2"/>
  <c r="E103" i="2"/>
  <c r="E69" i="2"/>
  <c r="E70" i="2"/>
  <c r="E71" i="2"/>
  <c r="E72" i="2"/>
  <c r="E73" i="2"/>
  <c r="E68" i="2"/>
  <c r="E66" i="2"/>
  <c r="E67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3" i="2"/>
  <c r="E2" i="2"/>
  <c r="C105" i="1"/>
  <c r="C104" i="1"/>
  <c r="C103" i="1"/>
  <c r="C102" i="1"/>
  <c r="C101" i="1"/>
  <c r="C99" i="1"/>
  <c r="C98" i="1"/>
  <c r="C36" i="1"/>
  <c r="C28" i="1"/>
  <c r="E103" i="3"/>
  <c r="E101" i="3"/>
  <c r="E99" i="3"/>
  <c r="E98" i="3"/>
  <c r="E105" i="3"/>
  <c r="E97" i="3"/>
  <c r="E96" i="3"/>
  <c r="E95" i="3"/>
  <c r="E94" i="3"/>
  <c r="E93" i="3"/>
  <c r="E92" i="3"/>
  <c r="E91" i="3"/>
  <c r="E90" i="3"/>
  <c r="E89" i="3"/>
  <c r="E88" i="3"/>
  <c r="E87" i="3"/>
  <c r="E86" i="3"/>
  <c r="E104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1" i="3"/>
  <c r="E32" i="3"/>
  <c r="E33" i="3"/>
  <c r="E34" i="3"/>
  <c r="E35" i="3"/>
  <c r="E36" i="3"/>
  <c r="E37" i="3"/>
  <c r="E29" i="3"/>
  <c r="E30" i="3"/>
  <c r="E28" i="3"/>
  <c r="E24" i="3"/>
  <c r="E23" i="3"/>
  <c r="E22" i="3"/>
  <c r="E21" i="3"/>
  <c r="E20" i="3"/>
  <c r="E19" i="3"/>
  <c r="E18" i="3"/>
  <c r="E17" i="3"/>
  <c r="E16" i="3"/>
  <c r="E15" i="3"/>
  <c r="E14" i="3"/>
  <c r="E13" i="3"/>
  <c r="E3" i="3"/>
  <c r="E4" i="3"/>
  <c r="E5" i="3"/>
  <c r="E6" i="3"/>
  <c r="E7" i="3"/>
  <c r="E8" i="3"/>
  <c r="E9" i="3"/>
  <c r="E10" i="3"/>
  <c r="E11" i="3"/>
  <c r="E12" i="3"/>
  <c r="E2" i="3"/>
</calcChain>
</file>

<file path=xl/sharedStrings.xml><?xml version="1.0" encoding="utf-8"?>
<sst xmlns="http://schemas.openxmlformats.org/spreadsheetml/2006/main" count="325" uniqueCount="115">
  <si>
    <t>Sample</t>
  </si>
  <si>
    <t>pH</t>
  </si>
  <si>
    <t>Turbidity (NTU)</t>
  </si>
  <si>
    <t>Dry Pan +Filter Weight (g)</t>
  </si>
  <si>
    <t>Sample Volume (mL)</t>
  </si>
  <si>
    <t>Dry Sample +Filter Weight (g)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</si>
  <si>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</si>
  <si>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</si>
  <si>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</si>
  <si>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</si>
  <si>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</si>
  <si>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</si>
  <si>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</si>
  <si>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</si>
  <si>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</si>
  <si>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</si>
  <si>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</si>
  <si>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</si>
  <si>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</si>
  <si>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</si>
  <si>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</si>
  <si>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</si>
  <si>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</si>
  <si>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</si>
  <si>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</si>
  <si>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</si>
  <si>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</si>
  <si>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</si>
  <si>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</si>
  <si>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</si>
  <si>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A3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</si>
  <si>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</si>
  <si>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</si>
  <si>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</si>
  <si>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</si>
  <si>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</si>
  <si>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</si>
  <si>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</si>
  <si>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</si>
  <si>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</si>
  <si>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</si>
  <si>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</si>
  <si>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A4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</si>
  <si>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</si>
  <si>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</si>
  <si>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</si>
  <si>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</si>
  <si>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</si>
  <si>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</si>
  <si>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</si>
  <si>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</si>
  <si>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</si>
  <si>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</si>
  <si>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</si>
  <si>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A5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</si>
  <si>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</si>
  <si>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</si>
  <si>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</si>
  <si>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</si>
  <si>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</si>
  <si>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</si>
  <si>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</si>
  <si>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</si>
  <si>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</si>
  <si>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</si>
  <si>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</si>
  <si>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A6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</si>
  <si>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</si>
  <si>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</si>
  <si>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</si>
  <si>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</si>
  <si>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</si>
  <si>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</si>
  <si>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</si>
  <si>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</si>
  <si>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</si>
  <si>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</si>
  <si>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</si>
  <si>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A7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</si>
  <si>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</si>
  <si>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</si>
  <si>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</si>
  <si>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</si>
  <si>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</si>
  <si>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</si>
  <si>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</si>
  <si>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</si>
  <si>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</si>
  <si>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</si>
  <si>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</si>
  <si>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A8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</si>
  <si>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</si>
  <si>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</si>
  <si>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</si>
  <si>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</si>
  <si>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</si>
  <si>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</si>
  <si>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</si>
  <si>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</si>
  <si>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</si>
  <si>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</si>
  <si>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</si>
  <si>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BW1</t>
  </si>
  <si>
    <t>BW2</t>
  </si>
  <si>
    <t>BW3</t>
  </si>
  <si>
    <t>BW4</t>
  </si>
  <si>
    <t>BW5</t>
  </si>
  <si>
    <t>BW6</t>
  </si>
  <si>
    <t>BW7</t>
  </si>
  <si>
    <t>BW8</t>
  </si>
  <si>
    <t>TSS (% w/v)</t>
  </si>
  <si>
    <t>Crucible weight (g)</t>
  </si>
  <si>
    <t>Sample Weight (g)</t>
  </si>
  <si>
    <t>%TS (w/w)</t>
  </si>
  <si>
    <t>Dry Crucible + Sample 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</si>
</sst>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1" applyNumberFormat="1" applyFont="1" applyAlignment="1">
      <alignment wrapText="1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42B2F-B54A-4A1C-8060-68ED3C837BA7}">
  <dimension ref="A1:C105"/>
  <sheetViews>
    <sheetView workbookViewId="0">
      <selection activeCell="C106" sqref="C106"/>
    </sheetView>
  </sheetViews>
  <sheetFormatPr defaultRowHeight="14.4" x14ac:dyDescent="0.3"/>
  <cols>
    <col min="3" max="3" width="13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C2">
        <v>18.5</v>
      </c>
    </row>
    <row r="3" spans="1:3" x14ac:dyDescent="0.3">
      <c r="A3" t="s">
        <v>7</v>
      </c>
      <c r="C3">
        <v>18.100000000000001</v>
      </c>
    </row>
    <row r="4" spans="1:3" x14ac:dyDescent="0.3">
      <c r="A4" t="s">
        <v>8</v>
      </c>
      <c r="C4">
        <v>52.5</v>
      </c>
    </row>
    <row r="5" spans="1:3" x14ac:dyDescent="0.3">
      <c r="A5" t="s">
        <v>9</v>
      </c>
      <c r="C5">
        <v>29.8</v>
      </c>
    </row>
    <row r="6" spans="1:3" x14ac:dyDescent="0.3">
      <c r="A6" t="s">
        <v>10</v>
      </c>
      <c r="C6">
        <v>85.3</v>
      </c>
    </row>
    <row r="7" spans="1:3" x14ac:dyDescent="0.3">
      <c r="A7" t="s">
        <v>11</v>
      </c>
      <c r="C7">
        <v>23.4</v>
      </c>
    </row>
    <row r="8" spans="1:3" x14ac:dyDescent="0.3">
      <c r="A8" t="s">
        <v>12</v>
      </c>
      <c r="C8">
        <v>24.5</v>
      </c>
    </row>
    <row r="9" spans="1:3" x14ac:dyDescent="0.3">
      <c r="A9" t="s">
        <v>13</v>
      </c>
      <c r="C9">
        <v>20.9</v>
      </c>
    </row>
    <row r="10" spans="1:3" x14ac:dyDescent="0.3">
      <c r="A10" t="s">
        <v>14</v>
      </c>
      <c r="C10">
        <v>116</v>
      </c>
    </row>
    <row r="11" spans="1:3" x14ac:dyDescent="0.3">
      <c r="A11" t="s">
        <v>15</v>
      </c>
      <c r="C11">
        <v>33.5</v>
      </c>
    </row>
    <row r="12" spans="1:3" x14ac:dyDescent="0.3">
      <c r="A12" t="s">
        <v>16</v>
      </c>
      <c r="C12">
        <v>34.299999999999997</v>
      </c>
    </row>
    <row r="13" spans="1:3" x14ac:dyDescent="0.3">
      <c r="A13" t="s">
        <v>17</v>
      </c>
      <c r="C13">
        <v>31.7</v>
      </c>
    </row>
    <row r="14" spans="1:3" x14ac:dyDescent="0.3">
      <c r="A14" t="s">
        <v>18</v>
      </c>
      <c r="C14">
        <v>55.2</v>
      </c>
    </row>
    <row r="15" spans="1:3" x14ac:dyDescent="0.3">
      <c r="A15" t="s">
        <v>19</v>
      </c>
      <c r="C15">
        <v>390</v>
      </c>
    </row>
    <row r="16" spans="1:3" x14ac:dyDescent="0.3">
      <c r="A16" t="s">
        <v>20</v>
      </c>
      <c r="C16">
        <v>388</v>
      </c>
    </row>
    <row r="17" spans="1:3" x14ac:dyDescent="0.3">
      <c r="A17" t="s">
        <v>21</v>
      </c>
      <c r="C17">
        <v>89.4</v>
      </c>
    </row>
    <row r="18" spans="1:3" x14ac:dyDescent="0.3">
      <c r="A18" t="s">
        <v>22</v>
      </c>
      <c r="C18">
        <v>212</v>
      </c>
    </row>
    <row r="19" spans="1:3" x14ac:dyDescent="0.3">
      <c r="A19" t="s">
        <v>23</v>
      </c>
      <c r="C19">
        <v>76.7</v>
      </c>
    </row>
    <row r="20" spans="1:3" x14ac:dyDescent="0.3">
      <c r="A20" t="s">
        <v>24</v>
      </c>
      <c r="C20">
        <v>44.5</v>
      </c>
    </row>
    <row r="21" spans="1:3" x14ac:dyDescent="0.3">
      <c r="A21" t="s">
        <v>25</v>
      </c>
      <c r="C21">
        <v>78.099999999999994</v>
      </c>
    </row>
    <row r="22" spans="1:3" x14ac:dyDescent="0.3">
      <c r="A22" t="s">
        <v>26</v>
      </c>
      <c r="C22">
        <v>198</v>
      </c>
    </row>
    <row r="23" spans="1:3" x14ac:dyDescent="0.3">
      <c r="A23" t="s">
        <v>27</v>
      </c>
      <c r="C23">
        <v>87.3</v>
      </c>
    </row>
    <row r="24" spans="1:3" x14ac:dyDescent="0.3">
      <c r="A24" t="s">
        <v>28</v>
      </c>
      <c r="C24">
        <v>21.2</v>
      </c>
    </row>
    <row r="25" spans="1:3" x14ac:dyDescent="0.3">
      <c r="A25" t="s">
        <v>29</v>
      </c>
      <c r="C25">
        <v>22</v>
      </c>
    </row>
    <row r="26" spans="1:3" x14ac:dyDescent="0.3">
      <c r="A26" t="s">
        <v>30</v>
      </c>
      <c r="C26">
        <v>22.1</v>
      </c>
    </row>
    <row r="27" spans="1:3" x14ac:dyDescent="0.3">
      <c r="A27" t="s">
        <v>31</v>
      </c>
      <c r="C27">
        <v>136</v>
      </c>
    </row>
    <row r="28" spans="1:3" x14ac:dyDescent="0.3">
      <c r="A28" t="s">
        <v>32</v>
      </c>
      <c r="C28">
        <f>477*3</f>
        <v>1431</v>
      </c>
    </row>
    <row r="29" spans="1:3" x14ac:dyDescent="0.3">
      <c r="A29" t="s">
        <v>33</v>
      </c>
      <c r="C29">
        <v>78.599999999999994</v>
      </c>
    </row>
    <row r="30" spans="1:3" x14ac:dyDescent="0.3">
      <c r="A30" t="s">
        <v>34</v>
      </c>
      <c r="C30">
        <v>89.4</v>
      </c>
    </row>
    <row r="31" spans="1:3" x14ac:dyDescent="0.3">
      <c r="A31" t="s">
        <v>35</v>
      </c>
      <c r="C31">
        <v>61.4</v>
      </c>
    </row>
    <row r="32" spans="1:3" x14ac:dyDescent="0.3">
      <c r="A32" t="s">
        <v>36</v>
      </c>
      <c r="C32">
        <v>37.4</v>
      </c>
    </row>
    <row r="33" spans="1:3" x14ac:dyDescent="0.3">
      <c r="A33" t="s">
        <v>37</v>
      </c>
      <c r="C33">
        <v>29.5</v>
      </c>
    </row>
    <row r="34" spans="1:3" x14ac:dyDescent="0.3">
      <c r="A34" t="s">
        <v>38</v>
      </c>
      <c r="C34">
        <v>60.2</v>
      </c>
    </row>
    <row r="35" spans="1:3" x14ac:dyDescent="0.3">
      <c r="A35" t="s">
        <v>39</v>
      </c>
      <c r="C35">
        <v>35.299999999999997</v>
      </c>
    </row>
    <row r="36" spans="1:3" x14ac:dyDescent="0.3">
      <c r="A36" t="s">
        <v>40</v>
      </c>
      <c r="C36">
        <f>226*3</f>
        <v>678</v>
      </c>
    </row>
    <row r="37" spans="1:3" x14ac:dyDescent="0.3">
      <c r="A37" t="s">
        <v>41</v>
      </c>
      <c r="C37">
        <v>131</v>
      </c>
    </row>
    <row r="38" spans="1:3" x14ac:dyDescent="0.3">
      <c r="A38" t="s">
        <v>42</v>
      </c>
      <c r="C38">
        <v>15.4</v>
      </c>
    </row>
    <row r="39" spans="1:3" x14ac:dyDescent="0.3">
      <c r="A39" t="s">
        <v>43</v>
      </c>
      <c r="C39">
        <v>31.3</v>
      </c>
    </row>
    <row r="40" spans="1:3" x14ac:dyDescent="0.3">
      <c r="A40" t="s">
        <v>44</v>
      </c>
      <c r="C40">
        <v>22.4</v>
      </c>
    </row>
    <row r="41" spans="1:3" x14ac:dyDescent="0.3">
      <c r="A41" t="s">
        <v>45</v>
      </c>
      <c r="C41">
        <v>10.4</v>
      </c>
    </row>
    <row r="42" spans="1:3" x14ac:dyDescent="0.3">
      <c r="A42" t="s">
        <v>46</v>
      </c>
      <c r="C42">
        <v>36.700000000000003</v>
      </c>
    </row>
    <row r="43" spans="1:3" x14ac:dyDescent="0.3">
      <c r="A43" t="s">
        <v>47</v>
      </c>
      <c r="C43">
        <v>12.6</v>
      </c>
    </row>
    <row r="44" spans="1:3" x14ac:dyDescent="0.3">
      <c r="A44" t="s">
        <v>48</v>
      </c>
      <c r="C44">
        <v>35.299999999999997</v>
      </c>
    </row>
    <row r="45" spans="1:3" x14ac:dyDescent="0.3">
      <c r="A45" t="s">
        <v>49</v>
      </c>
      <c r="C45">
        <v>35.799999999999997</v>
      </c>
    </row>
    <row r="46" spans="1:3" x14ac:dyDescent="0.3">
      <c r="A46" t="s">
        <v>50</v>
      </c>
      <c r="C46">
        <v>32.5</v>
      </c>
    </row>
    <row r="47" spans="1:3" x14ac:dyDescent="0.3">
      <c r="A47" t="s">
        <v>51</v>
      </c>
      <c r="C47">
        <v>36.1</v>
      </c>
    </row>
    <row r="48" spans="1:3" x14ac:dyDescent="0.3">
      <c r="A48" t="s">
        <v>52</v>
      </c>
      <c r="C48">
        <v>35.200000000000003</v>
      </c>
    </row>
    <row r="49" spans="1:3" x14ac:dyDescent="0.3">
      <c r="A49" t="s">
        <v>53</v>
      </c>
      <c r="C49">
        <v>16.100000000000001</v>
      </c>
    </row>
    <row r="50" spans="1:3" x14ac:dyDescent="0.3">
      <c r="A50" t="s">
        <v>54</v>
      </c>
      <c r="C50">
        <v>11.9</v>
      </c>
    </row>
    <row r="51" spans="1:3" x14ac:dyDescent="0.3">
      <c r="A51" t="s">
        <v>55</v>
      </c>
      <c r="C51">
        <v>15.3</v>
      </c>
    </row>
    <row r="52" spans="1:3" x14ac:dyDescent="0.3">
      <c r="A52" t="s">
        <v>56</v>
      </c>
      <c r="C52">
        <v>17</v>
      </c>
    </row>
    <row r="53" spans="1:3" x14ac:dyDescent="0.3">
      <c r="A53" t="s">
        <v>57</v>
      </c>
      <c r="C53">
        <v>5.41</v>
      </c>
    </row>
    <row r="54" spans="1:3" x14ac:dyDescent="0.3">
      <c r="A54" t="s">
        <v>58</v>
      </c>
      <c r="C54">
        <v>14.1</v>
      </c>
    </row>
    <row r="55" spans="1:3" x14ac:dyDescent="0.3">
      <c r="A55" t="s">
        <v>59</v>
      </c>
      <c r="C55">
        <v>25.1</v>
      </c>
    </row>
    <row r="56" spans="1:3" x14ac:dyDescent="0.3">
      <c r="A56" t="s">
        <v>60</v>
      </c>
      <c r="C56">
        <v>10.5</v>
      </c>
    </row>
    <row r="57" spans="1:3" x14ac:dyDescent="0.3">
      <c r="A57" t="s">
        <v>61</v>
      </c>
      <c r="C57">
        <v>16.3</v>
      </c>
    </row>
    <row r="58" spans="1:3" x14ac:dyDescent="0.3">
      <c r="A58" t="s">
        <v>62</v>
      </c>
      <c r="C58">
        <v>25</v>
      </c>
    </row>
    <row r="59" spans="1:3" x14ac:dyDescent="0.3">
      <c r="A59" t="s">
        <v>63</v>
      </c>
      <c r="C59">
        <v>6.87</v>
      </c>
    </row>
    <row r="60" spans="1:3" x14ac:dyDescent="0.3">
      <c r="A60" t="s">
        <v>64</v>
      </c>
      <c r="C60">
        <v>25.2</v>
      </c>
    </row>
    <row r="61" spans="1:3" x14ac:dyDescent="0.3">
      <c r="A61" t="s">
        <v>65</v>
      </c>
      <c r="C61">
        <v>14.8</v>
      </c>
    </row>
    <row r="62" spans="1:3" x14ac:dyDescent="0.3">
      <c r="A62" t="s">
        <v>66</v>
      </c>
      <c r="C62">
        <v>7.61</v>
      </c>
    </row>
    <row r="63" spans="1:3" x14ac:dyDescent="0.3">
      <c r="A63" t="s">
        <v>67</v>
      </c>
      <c r="C63">
        <v>11.3</v>
      </c>
    </row>
    <row r="64" spans="1:3" x14ac:dyDescent="0.3">
      <c r="A64" t="s">
        <v>68</v>
      </c>
      <c r="C64">
        <v>10.5</v>
      </c>
    </row>
    <row r="65" spans="1:3" x14ac:dyDescent="0.3">
      <c r="A65" t="s">
        <v>69</v>
      </c>
      <c r="C65">
        <v>2.54</v>
      </c>
    </row>
    <row r="66" spans="1:3" x14ac:dyDescent="0.3">
      <c r="A66" t="s">
        <v>70</v>
      </c>
      <c r="C66">
        <v>4.91</v>
      </c>
    </row>
    <row r="67" spans="1:3" x14ac:dyDescent="0.3">
      <c r="A67" t="s">
        <v>71</v>
      </c>
      <c r="C67">
        <v>3.71</v>
      </c>
    </row>
    <row r="68" spans="1:3" x14ac:dyDescent="0.3">
      <c r="A68" t="s">
        <v>72</v>
      </c>
      <c r="C68">
        <v>50.8</v>
      </c>
    </row>
    <row r="69" spans="1:3" x14ac:dyDescent="0.3">
      <c r="A69" t="s">
        <v>73</v>
      </c>
      <c r="C69">
        <v>9.56</v>
      </c>
    </row>
    <row r="70" spans="1:3" x14ac:dyDescent="0.3">
      <c r="A70" t="s">
        <v>74</v>
      </c>
      <c r="C70">
        <v>12.4</v>
      </c>
    </row>
    <row r="71" spans="1:3" x14ac:dyDescent="0.3">
      <c r="A71" t="s">
        <v>75</v>
      </c>
      <c r="C71">
        <v>22.7</v>
      </c>
    </row>
    <row r="72" spans="1:3" x14ac:dyDescent="0.3">
      <c r="A72" t="s">
        <v>76</v>
      </c>
      <c r="C72">
        <v>24.3</v>
      </c>
    </row>
    <row r="73" spans="1:3" x14ac:dyDescent="0.3">
      <c r="A73" t="s">
        <v>77</v>
      </c>
      <c r="C73">
        <v>46.6</v>
      </c>
    </row>
    <row r="74" spans="1:3" x14ac:dyDescent="0.3">
      <c r="A74" t="s">
        <v>78</v>
      </c>
      <c r="C74">
        <v>13.1</v>
      </c>
    </row>
    <row r="75" spans="1:3" x14ac:dyDescent="0.3">
      <c r="A75" t="s">
        <v>79</v>
      </c>
      <c r="C75">
        <v>8.64</v>
      </c>
    </row>
    <row r="76" spans="1:3" x14ac:dyDescent="0.3">
      <c r="A76" t="s">
        <v>80</v>
      </c>
      <c r="C76">
        <v>18.399999999999999</v>
      </c>
    </row>
    <row r="77" spans="1:3" x14ac:dyDescent="0.3">
      <c r="A77" t="s">
        <v>81</v>
      </c>
      <c r="C77">
        <v>17.21</v>
      </c>
    </row>
    <row r="78" spans="1:3" x14ac:dyDescent="0.3">
      <c r="A78" t="s">
        <v>82</v>
      </c>
      <c r="C78">
        <v>35.5</v>
      </c>
    </row>
    <row r="79" spans="1:3" x14ac:dyDescent="0.3">
      <c r="A79" t="s">
        <v>83</v>
      </c>
      <c r="C79">
        <v>9.64</v>
      </c>
    </row>
    <row r="80" spans="1:3" x14ac:dyDescent="0.3">
      <c r="A80" t="s">
        <v>84</v>
      </c>
      <c r="C80">
        <v>67.5</v>
      </c>
    </row>
    <row r="81" spans="1:3" x14ac:dyDescent="0.3">
      <c r="A81" t="s">
        <v>85</v>
      </c>
      <c r="C81">
        <v>40.1</v>
      </c>
    </row>
    <row r="82" spans="1:3" x14ac:dyDescent="0.3">
      <c r="A82" t="s">
        <v>86</v>
      </c>
      <c r="C82">
        <v>41.5</v>
      </c>
    </row>
    <row r="83" spans="1:3" x14ac:dyDescent="0.3">
      <c r="A83" t="s">
        <v>87</v>
      </c>
      <c r="C83">
        <v>71.3</v>
      </c>
    </row>
    <row r="84" spans="1:3" x14ac:dyDescent="0.3">
      <c r="A84" t="s">
        <v>88</v>
      </c>
      <c r="C84">
        <v>96.7</v>
      </c>
    </row>
    <row r="85" spans="1:3" x14ac:dyDescent="0.3">
      <c r="A85" t="s">
        <v>89</v>
      </c>
      <c r="C85">
        <v>18.600000000000001</v>
      </c>
    </row>
    <row r="86" spans="1:3" x14ac:dyDescent="0.3">
      <c r="A86" t="s">
        <v>90</v>
      </c>
      <c r="C86">
        <v>26.4</v>
      </c>
    </row>
    <row r="87" spans="1:3" x14ac:dyDescent="0.3">
      <c r="A87" t="s">
        <v>91</v>
      </c>
      <c r="C87">
        <v>22.4</v>
      </c>
    </row>
    <row r="88" spans="1:3" x14ac:dyDescent="0.3">
      <c r="A88" t="s">
        <v>92</v>
      </c>
      <c r="C88">
        <v>32.200000000000003</v>
      </c>
    </row>
    <row r="89" spans="1:3" x14ac:dyDescent="0.3">
      <c r="A89" t="s">
        <v>93</v>
      </c>
      <c r="C89">
        <v>24.5</v>
      </c>
    </row>
    <row r="90" spans="1:3" x14ac:dyDescent="0.3">
      <c r="A90" t="s">
        <v>94</v>
      </c>
      <c r="C90">
        <v>25.3</v>
      </c>
    </row>
    <row r="91" spans="1:3" x14ac:dyDescent="0.3">
      <c r="A91" t="s">
        <v>95</v>
      </c>
      <c r="C91">
        <v>48.8</v>
      </c>
    </row>
    <row r="92" spans="1:3" x14ac:dyDescent="0.3">
      <c r="A92" t="s">
        <v>96</v>
      </c>
      <c r="C92">
        <v>189</v>
      </c>
    </row>
    <row r="93" spans="1:3" x14ac:dyDescent="0.3">
      <c r="A93" t="s">
        <v>97</v>
      </c>
      <c r="C93">
        <v>128</v>
      </c>
    </row>
    <row r="94" spans="1:3" x14ac:dyDescent="0.3">
      <c r="A94" t="s">
        <v>98</v>
      </c>
      <c r="C94">
        <v>397.3</v>
      </c>
    </row>
    <row r="95" spans="1:3" x14ac:dyDescent="0.3">
      <c r="A95" t="s">
        <v>99</v>
      </c>
      <c r="C95">
        <v>173</v>
      </c>
    </row>
    <row r="96" spans="1:3" x14ac:dyDescent="0.3">
      <c r="A96" t="s">
        <v>100</v>
      </c>
      <c r="C96">
        <v>179</v>
      </c>
    </row>
    <row r="97" spans="1:3" x14ac:dyDescent="0.3">
      <c r="A97" t="s">
        <v>101</v>
      </c>
      <c r="C97">
        <v>66.900000000000006</v>
      </c>
    </row>
    <row r="98" spans="1:3" x14ac:dyDescent="0.3">
      <c r="A98" t="s">
        <v>102</v>
      </c>
      <c r="C98">
        <f>85.4*13</f>
        <v>1110.2</v>
      </c>
    </row>
    <row r="99" spans="1:3" x14ac:dyDescent="0.3">
      <c r="A99" t="s">
        <v>103</v>
      </c>
      <c r="C99">
        <f>152*13</f>
        <v>1976</v>
      </c>
    </row>
    <row r="100" spans="1:3" x14ac:dyDescent="0.3">
      <c r="A100" t="s">
        <v>104</v>
      </c>
    </row>
    <row r="101" spans="1:3" x14ac:dyDescent="0.3">
      <c r="A101" t="s">
        <v>105</v>
      </c>
      <c r="C101">
        <f>99.2*16</f>
        <v>1587.2</v>
      </c>
    </row>
    <row r="102" spans="1:3" x14ac:dyDescent="0.3">
      <c r="A102" t="s">
        <v>106</v>
      </c>
      <c r="C102">
        <f>134*16</f>
        <v>2144</v>
      </c>
    </row>
    <row r="103" spans="1:3" x14ac:dyDescent="0.3">
      <c r="A103" t="s">
        <v>107</v>
      </c>
      <c r="C103">
        <f>117*16</f>
        <v>1872</v>
      </c>
    </row>
    <row r="104" spans="1:3" x14ac:dyDescent="0.3">
      <c r="A104" t="s">
        <v>108</v>
      </c>
      <c r="C104">
        <f>82.6*16</f>
        <v>1321.6</v>
      </c>
    </row>
    <row r="105" spans="1:3" x14ac:dyDescent="0.3">
      <c r="A105" t="s">
        <v>109</v>
      </c>
      <c r="C105">
        <f>114*16</f>
        <v>1824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D5BF-B3B6-481C-B146-C5FF9FDD3238}">
  <dimension ref="A1:E105"/>
  <sheetViews>
    <sheetView topLeftCell="A69" workbookViewId="0">
      <selection activeCell="C24" sqref="C24"/>
    </sheetView>
  </sheetViews>
  <sheetFormatPr defaultRowHeight="14.4" x14ac:dyDescent="0.3"/>
  <cols>
    <col min="2" max="2" width="13.88671875" customWidth="1"/>
    <col min="3" max="3" width="13.21875" customWidth="1"/>
    <col min="4" max="4" width="14.44140625" customWidth="1"/>
    <col min="5" max="5" width="10.33203125" style="3" customWidth="1"/>
  </cols>
  <sheetData>
    <row r="1" spans="1:5" ht="35.4" customHeight="1" x14ac:dyDescent="0.3">
      <c r="A1" t="s">
        <v>0</v>
      </c>
      <c r="B1" s="1" t="s">
        <v>3</v>
      </c>
      <c r="C1" s="1" t="s">
        <v>4</v>
      </c>
      <c r="D1" s="1" t="s">
        <v>5</v>
      </c>
      <c r="E1" s="2" t="s">
        <v>110</v>
      </c>
    </row>
    <row r="2" spans="1:5" x14ac:dyDescent="0.3">
      <c r="A2" t="s">
        <v>6</v>
      </c>
      <c r="B2">
        <v>1.389</v>
      </c>
      <c r="C2">
        <v>200</v>
      </c>
      <c r="D2">
        <v>1.3959999999999999</v>
      </c>
      <c r="E2" s="3">
        <f>(D2-B2)/C2</f>
        <v>3.4999999999999475E-5</v>
      </c>
    </row>
    <row r="3" spans="1:5" x14ac:dyDescent="0.3">
      <c r="A3" t="s">
        <v>7</v>
      </c>
      <c r="B3">
        <v>1.3888</v>
      </c>
      <c r="C3">
        <v>205</v>
      </c>
      <c r="D3">
        <v>1.3952</v>
      </c>
      <c r="E3" s="3">
        <f t="shared" ref="E3:E24" si="0">(D3-B3)/C3</f>
        <v>3.1219512195121765E-5</v>
      </c>
    </row>
    <row r="4" spans="1:5" x14ac:dyDescent="0.3">
      <c r="A4" t="s">
        <v>8</v>
      </c>
      <c r="B4">
        <v>1.3880999999999999</v>
      </c>
      <c r="C4">
        <v>75</v>
      </c>
      <c r="D4">
        <v>1.3946000000000001</v>
      </c>
      <c r="E4" s="3">
        <f t="shared" si="0"/>
        <v>8.6666666666668958E-5</v>
      </c>
    </row>
    <row r="5" spans="1:5" x14ac:dyDescent="0.3">
      <c r="A5" t="s">
        <v>9</v>
      </c>
      <c r="B5">
        <v>1.3747</v>
      </c>
      <c r="C5">
        <v>200</v>
      </c>
      <c r="D5">
        <v>1.3836999999999999</v>
      </c>
      <c r="E5" s="3">
        <f t="shared" si="0"/>
        <v>4.4999999999999488E-5</v>
      </c>
    </row>
    <row r="6" spans="1:5" x14ac:dyDescent="0.3">
      <c r="A6" t="s">
        <v>10</v>
      </c>
      <c r="B6">
        <v>1.3924000000000001</v>
      </c>
      <c r="C6">
        <v>50</v>
      </c>
      <c r="D6">
        <v>1.3971</v>
      </c>
      <c r="E6" s="3">
        <f t="shared" si="0"/>
        <v>9.3999999999998531E-5</v>
      </c>
    </row>
    <row r="7" spans="1:5" x14ac:dyDescent="0.3">
      <c r="A7" t="s">
        <v>11</v>
      </c>
      <c r="B7">
        <v>1.3833</v>
      </c>
      <c r="C7">
        <v>100</v>
      </c>
      <c r="D7">
        <v>1.3882000000000001</v>
      </c>
      <c r="E7" s="3">
        <f t="shared" si="0"/>
        <v>4.9000000000001266E-5</v>
      </c>
    </row>
    <row r="8" spans="1:5" x14ac:dyDescent="0.3">
      <c r="A8" t="s">
        <v>12</v>
      </c>
      <c r="B8">
        <v>1.3763000000000001</v>
      </c>
      <c r="C8">
        <v>150</v>
      </c>
      <c r="D8">
        <v>1.3818999999999999</v>
      </c>
      <c r="E8" s="3">
        <f t="shared" si="0"/>
        <v>3.7333333333332185E-5</v>
      </c>
    </row>
    <row r="9" spans="1:5" x14ac:dyDescent="0.3">
      <c r="A9" t="s">
        <v>13</v>
      </c>
      <c r="B9">
        <v>1.3909</v>
      </c>
      <c r="C9">
        <v>200</v>
      </c>
      <c r="D9">
        <v>1.3964000000000001</v>
      </c>
      <c r="E9" s="3">
        <f t="shared" si="0"/>
        <v>2.7500000000000303E-5</v>
      </c>
    </row>
    <row r="10" spans="1:5" x14ac:dyDescent="0.3">
      <c r="A10" t="s">
        <v>14</v>
      </c>
      <c r="B10">
        <v>1.3822000000000001</v>
      </c>
      <c r="C10">
        <v>50</v>
      </c>
      <c r="D10">
        <v>1.3878999999999999</v>
      </c>
      <c r="E10" s="3">
        <f t="shared" si="0"/>
        <v>1.1399999999999632E-4</v>
      </c>
    </row>
    <row r="11" spans="1:5" x14ac:dyDescent="0.3">
      <c r="A11" t="s">
        <v>15</v>
      </c>
      <c r="B11">
        <v>1.3751</v>
      </c>
      <c r="C11">
        <v>114</v>
      </c>
      <c r="D11">
        <v>1.3805000000000001</v>
      </c>
      <c r="E11" s="3">
        <f t="shared" si="0"/>
        <v>4.7368421052632204E-5</v>
      </c>
    </row>
    <row r="12" spans="1:5" x14ac:dyDescent="0.3">
      <c r="A12" t="s">
        <v>16</v>
      </c>
      <c r="B12">
        <v>1.3874</v>
      </c>
      <c r="C12">
        <v>100</v>
      </c>
      <c r="D12">
        <v>1.3915</v>
      </c>
      <c r="E12" s="3">
        <f t="shared" si="0"/>
        <v>4.0999999999999926E-5</v>
      </c>
    </row>
    <row r="13" spans="1:5" x14ac:dyDescent="0.3">
      <c r="A13" t="s">
        <v>17</v>
      </c>
      <c r="B13">
        <v>1.3888</v>
      </c>
      <c r="C13">
        <v>74</v>
      </c>
      <c r="D13">
        <v>1.3929</v>
      </c>
      <c r="E13" s="3">
        <f t="shared" si="0"/>
        <v>5.5405405405405307E-5</v>
      </c>
    </row>
    <row r="14" spans="1:5" x14ac:dyDescent="0.3">
      <c r="A14" t="s">
        <v>18</v>
      </c>
      <c r="B14">
        <v>1.3962000000000001</v>
      </c>
      <c r="C14">
        <v>45</v>
      </c>
      <c r="D14">
        <v>1.3997999999999999</v>
      </c>
      <c r="E14" s="3">
        <f t="shared" si="0"/>
        <v>7.9999999999996117E-5</v>
      </c>
    </row>
    <row r="15" spans="1:5" x14ac:dyDescent="0.3">
      <c r="A15" t="s">
        <v>19</v>
      </c>
      <c r="B15">
        <v>1.3920999999999999</v>
      </c>
      <c r="C15">
        <v>10</v>
      </c>
      <c r="D15">
        <v>1.3958999999999999</v>
      </c>
      <c r="E15" s="3">
        <f t="shared" si="0"/>
        <v>3.8000000000000257E-4</v>
      </c>
    </row>
    <row r="16" spans="1:5" x14ac:dyDescent="0.3">
      <c r="A16" t="s">
        <v>20</v>
      </c>
      <c r="B16">
        <v>1.3972</v>
      </c>
      <c r="C16">
        <v>15</v>
      </c>
      <c r="D16">
        <v>1.4012</v>
      </c>
      <c r="E16" s="3">
        <f t="shared" si="0"/>
        <v>2.666666666666669E-4</v>
      </c>
    </row>
    <row r="17" spans="1:5" x14ac:dyDescent="0.3">
      <c r="A17" t="s">
        <v>21</v>
      </c>
      <c r="B17">
        <v>1.3942000000000001</v>
      </c>
      <c r="C17">
        <v>50</v>
      </c>
      <c r="D17">
        <v>1.3987000000000001</v>
      </c>
      <c r="E17" s="3">
        <f t="shared" si="0"/>
        <v>8.9999999999998976E-5</v>
      </c>
    </row>
    <row r="18" spans="1:5" x14ac:dyDescent="0.3">
      <c r="A18" t="s">
        <v>22</v>
      </c>
      <c r="B18">
        <v>1.3914</v>
      </c>
      <c r="C18">
        <v>15</v>
      </c>
      <c r="D18">
        <v>1.3943000000000001</v>
      </c>
      <c r="E18" s="3">
        <f t="shared" si="0"/>
        <v>1.9333333333334166E-4</v>
      </c>
    </row>
    <row r="19" spans="1:5" x14ac:dyDescent="0.3">
      <c r="A19" t="s">
        <v>23</v>
      </c>
      <c r="B19">
        <v>1.3915999999999999</v>
      </c>
      <c r="C19">
        <v>54</v>
      </c>
      <c r="D19">
        <v>1.3972</v>
      </c>
      <c r="E19" s="3">
        <f t="shared" si="0"/>
        <v>1.0370370370370462E-4</v>
      </c>
    </row>
    <row r="20" spans="1:5" x14ac:dyDescent="0.3">
      <c r="A20" t="s">
        <v>24</v>
      </c>
      <c r="B20">
        <v>1.3817999999999999</v>
      </c>
      <c r="C20">
        <v>74</v>
      </c>
      <c r="D20">
        <v>1.3867</v>
      </c>
      <c r="E20" s="3">
        <f t="shared" si="0"/>
        <v>6.6216216216217921E-5</v>
      </c>
    </row>
    <row r="21" spans="1:5" x14ac:dyDescent="0.3">
      <c r="A21" t="s">
        <v>25</v>
      </c>
      <c r="B21">
        <v>1.3958999999999999</v>
      </c>
      <c r="C21">
        <v>50</v>
      </c>
      <c r="D21">
        <v>1.4005000000000001</v>
      </c>
      <c r="E21" s="3">
        <f t="shared" si="0"/>
        <v>9.2000000000003185E-5</v>
      </c>
    </row>
    <row r="22" spans="1:5" x14ac:dyDescent="0.3">
      <c r="A22" t="s">
        <v>26</v>
      </c>
      <c r="B22">
        <v>1.3313999999999999</v>
      </c>
      <c r="C22">
        <v>25</v>
      </c>
      <c r="D22">
        <v>1.3364</v>
      </c>
      <c r="E22" s="3">
        <f t="shared" si="0"/>
        <v>2.0000000000000462E-4</v>
      </c>
    </row>
    <row r="23" spans="1:5" x14ac:dyDescent="0.3">
      <c r="A23" t="s">
        <v>27</v>
      </c>
      <c r="B23">
        <v>9.9246999999999996</v>
      </c>
      <c r="C23">
        <v>50</v>
      </c>
      <c r="D23">
        <v>9.9296000000000006</v>
      </c>
      <c r="E23" s="3">
        <f t="shared" si="0"/>
        <v>9.8000000000020299E-5</v>
      </c>
    </row>
    <row r="24" spans="1:5" x14ac:dyDescent="0.3">
      <c r="A24" t="s">
        <v>28</v>
      </c>
      <c r="B24">
        <v>1.391</v>
      </c>
      <c r="C24">
        <v>200</v>
      </c>
      <c r="D24">
        <v>1.403</v>
      </c>
      <c r="E24" s="3">
        <f t="shared" si="0"/>
        <v>6.0000000000000056E-5</v>
      </c>
    </row>
    <row r="25" spans="1:5" x14ac:dyDescent="0.3">
      <c r="A25" t="s">
        <v>29</v>
      </c>
    </row>
    <row r="26" spans="1:5" x14ac:dyDescent="0.3">
      <c r="A26" t="s">
        <v>30</v>
      </c>
    </row>
    <row r="27" spans="1:5" x14ac:dyDescent="0.3">
      <c r="A27" t="s">
        <v>31</v>
      </c>
    </row>
    <row r="28" spans="1:5" x14ac:dyDescent="0.3">
      <c r="A28" t="s">
        <v>32</v>
      </c>
      <c r="B28">
        <v>1.3299000000000001</v>
      </c>
      <c r="C28">
        <v>10</v>
      </c>
      <c r="D28">
        <v>1.3456999999999999</v>
      </c>
      <c r="E28" s="3">
        <f>(D28-B28)/C28</f>
        <v>1.5799999999999814E-3</v>
      </c>
    </row>
    <row r="29" spans="1:5" x14ac:dyDescent="0.3">
      <c r="A29" t="s">
        <v>33</v>
      </c>
      <c r="B29">
        <v>1.3806</v>
      </c>
      <c r="C29">
        <v>55</v>
      </c>
      <c r="D29">
        <v>1.3848</v>
      </c>
      <c r="E29" s="3">
        <f t="shared" ref="E29:E99" si="1">(D29-B29)/C29</f>
        <v>7.6363636363636022E-5</v>
      </c>
    </row>
    <row r="30" spans="1:5" x14ac:dyDescent="0.3">
      <c r="A30" t="s">
        <v>34</v>
      </c>
      <c r="B30">
        <v>1.3683000000000001</v>
      </c>
      <c r="C30">
        <v>100</v>
      </c>
      <c r="D30">
        <v>1.3718999999999999</v>
      </c>
      <c r="E30" s="3">
        <f t="shared" si="1"/>
        <v>3.5999999999998253E-5</v>
      </c>
    </row>
    <row r="31" spans="1:5" x14ac:dyDescent="0.3">
      <c r="A31" t="s">
        <v>35</v>
      </c>
      <c r="B31">
        <v>1.3436999999999999</v>
      </c>
      <c r="C31">
        <v>150</v>
      </c>
      <c r="D31">
        <v>1.3527</v>
      </c>
      <c r="E31" s="3">
        <f t="shared" si="1"/>
        <v>6.0000000000000794E-5</v>
      </c>
    </row>
    <row r="32" spans="1:5" x14ac:dyDescent="0.3">
      <c r="A32" t="s">
        <v>36</v>
      </c>
      <c r="B32">
        <v>1.3216000000000001</v>
      </c>
      <c r="C32">
        <v>100</v>
      </c>
      <c r="D32">
        <v>1.3254999999999999</v>
      </c>
      <c r="E32" s="3">
        <f t="shared" si="1"/>
        <v>3.8999999999997926E-5</v>
      </c>
    </row>
    <row r="33" spans="1:5" x14ac:dyDescent="0.3">
      <c r="A33" t="s">
        <v>37</v>
      </c>
      <c r="B33">
        <v>1.3903000000000001</v>
      </c>
      <c r="C33">
        <v>100</v>
      </c>
      <c r="D33">
        <v>1.3939999999999999</v>
      </c>
      <c r="E33" s="3">
        <f t="shared" si="1"/>
        <v>3.6999999999998148E-5</v>
      </c>
    </row>
    <row r="34" spans="1:5" x14ac:dyDescent="0.3">
      <c r="A34" t="s">
        <v>38</v>
      </c>
      <c r="B34">
        <v>1.3503000000000001</v>
      </c>
      <c r="C34">
        <v>108</v>
      </c>
      <c r="D34">
        <v>1.3552999999999999</v>
      </c>
      <c r="E34" s="3">
        <f t="shared" si="1"/>
        <v>4.6296296296295311E-5</v>
      </c>
    </row>
    <row r="35" spans="1:5" x14ac:dyDescent="0.3">
      <c r="A35" t="s">
        <v>39</v>
      </c>
      <c r="B35">
        <v>1.3982000000000001</v>
      </c>
      <c r="C35">
        <v>110</v>
      </c>
      <c r="D35">
        <v>1.4025000000000001</v>
      </c>
      <c r="E35" s="3">
        <f t="shared" si="1"/>
        <v>3.9090909090908821E-5</v>
      </c>
    </row>
    <row r="36" spans="1:5" x14ac:dyDescent="0.3">
      <c r="A36" t="s">
        <v>40</v>
      </c>
      <c r="B36">
        <v>1.4025000000000001</v>
      </c>
      <c r="C36">
        <v>10</v>
      </c>
      <c r="D36">
        <v>1.4134</v>
      </c>
      <c r="E36" s="3">
        <f t="shared" si="1"/>
        <v>1.0899999999999909E-3</v>
      </c>
    </row>
    <row r="37" spans="1:5" x14ac:dyDescent="0.3">
      <c r="A37" t="s">
        <v>41</v>
      </c>
      <c r="B37">
        <v>1.391</v>
      </c>
      <c r="C37">
        <v>15</v>
      </c>
      <c r="D37">
        <v>1.3913</v>
      </c>
      <c r="E37" s="3">
        <f t="shared" si="1"/>
        <v>1.9999999999997796E-5</v>
      </c>
    </row>
    <row r="38" spans="1:5" x14ac:dyDescent="0.3">
      <c r="A38" t="s">
        <v>42</v>
      </c>
      <c r="B38">
        <v>1.3796999999999999</v>
      </c>
      <c r="C38">
        <v>205</v>
      </c>
      <c r="D38">
        <v>1.3823000000000001</v>
      </c>
      <c r="E38" s="3">
        <f t="shared" si="1"/>
        <v>1.2682926829269062E-5</v>
      </c>
    </row>
    <row r="39" spans="1:5" x14ac:dyDescent="0.3">
      <c r="A39" t="s">
        <v>43</v>
      </c>
      <c r="B39">
        <v>1.3738999999999999</v>
      </c>
      <c r="C39">
        <v>154</v>
      </c>
      <c r="D39">
        <v>1.3786</v>
      </c>
      <c r="E39" s="3">
        <f t="shared" si="1"/>
        <v>3.0519480519481481E-5</v>
      </c>
    </row>
    <row r="40" spans="1:5" x14ac:dyDescent="0.3">
      <c r="A40" t="s">
        <v>44</v>
      </c>
      <c r="B40">
        <v>1.3882000000000001</v>
      </c>
      <c r="C40">
        <v>215</v>
      </c>
      <c r="D40">
        <v>1.395</v>
      </c>
      <c r="E40" s="3">
        <f t="shared" si="1"/>
        <v>3.1627906976743804E-5</v>
      </c>
    </row>
    <row r="41" spans="1:5" x14ac:dyDescent="0.3">
      <c r="A41" t="s">
        <v>45</v>
      </c>
      <c r="B41">
        <v>1.3922000000000001</v>
      </c>
      <c r="C41">
        <v>194</v>
      </c>
      <c r="D41">
        <v>1.3931</v>
      </c>
      <c r="E41" s="3">
        <f t="shared" si="1"/>
        <v>4.6391752577314476E-6</v>
      </c>
    </row>
    <row r="42" spans="1:5" x14ac:dyDescent="0.3">
      <c r="A42" t="s">
        <v>46</v>
      </c>
      <c r="B42">
        <v>1.3914</v>
      </c>
      <c r="C42">
        <v>150</v>
      </c>
      <c r="D42">
        <v>1.3985000000000001</v>
      </c>
      <c r="E42" s="3">
        <f t="shared" si="1"/>
        <v>4.7333333333334041E-5</v>
      </c>
    </row>
    <row r="43" spans="1:5" x14ac:dyDescent="0.3">
      <c r="A43" t="s">
        <v>47</v>
      </c>
      <c r="B43">
        <v>1.3795999999999999</v>
      </c>
      <c r="C43">
        <v>270</v>
      </c>
      <c r="D43">
        <v>1.3835999999999999</v>
      </c>
      <c r="E43" s="3">
        <f t="shared" si="1"/>
        <v>1.4814814814814829E-5</v>
      </c>
    </row>
    <row r="44" spans="1:5" x14ac:dyDescent="0.3">
      <c r="A44" t="s">
        <v>48</v>
      </c>
      <c r="B44">
        <v>1.3911</v>
      </c>
      <c r="C44">
        <v>150</v>
      </c>
      <c r="D44">
        <v>1.3987000000000001</v>
      </c>
      <c r="E44" s="3">
        <f t="shared" si="1"/>
        <v>5.0666666666667006E-5</v>
      </c>
    </row>
    <row r="45" spans="1:5" x14ac:dyDescent="0.3">
      <c r="A45" t="s">
        <v>49</v>
      </c>
      <c r="B45">
        <v>1.3858999999999999</v>
      </c>
      <c r="C45">
        <v>148</v>
      </c>
      <c r="D45">
        <v>1.3915</v>
      </c>
      <c r="E45" s="3">
        <f t="shared" si="1"/>
        <v>3.7837837837838174E-5</v>
      </c>
    </row>
    <row r="46" spans="1:5" x14ac:dyDescent="0.3">
      <c r="A46" t="s">
        <v>50</v>
      </c>
      <c r="B46">
        <v>1.387</v>
      </c>
      <c r="C46">
        <v>145</v>
      </c>
      <c r="D46">
        <v>1.3924000000000001</v>
      </c>
      <c r="E46" s="3">
        <f t="shared" si="1"/>
        <v>3.7241379310345318E-5</v>
      </c>
    </row>
    <row r="47" spans="1:5" x14ac:dyDescent="0.3">
      <c r="A47" t="s">
        <v>51</v>
      </c>
      <c r="B47">
        <v>1.3853</v>
      </c>
      <c r="C47">
        <v>148</v>
      </c>
      <c r="D47">
        <v>1.3915</v>
      </c>
      <c r="E47" s="3">
        <f t="shared" si="1"/>
        <v>4.1891891891891778E-5</v>
      </c>
    </row>
    <row r="48" spans="1:5" x14ac:dyDescent="0.3">
      <c r="A48" t="s">
        <v>52</v>
      </c>
      <c r="B48">
        <v>1.3734</v>
      </c>
      <c r="C48">
        <v>150</v>
      </c>
      <c r="D48">
        <v>1.3801000000000001</v>
      </c>
      <c r="E48" s="3">
        <f t="shared" si="1"/>
        <v>4.4666666666667667E-5</v>
      </c>
    </row>
    <row r="49" spans="1:5" x14ac:dyDescent="0.3">
      <c r="A49" t="s">
        <v>53</v>
      </c>
      <c r="B49">
        <v>1.3866000000000001</v>
      </c>
      <c r="C49">
        <v>200</v>
      </c>
      <c r="D49">
        <v>1.3915999999999999</v>
      </c>
      <c r="E49" s="3">
        <f t="shared" si="1"/>
        <v>2.4999999999999466E-5</v>
      </c>
    </row>
    <row r="50" spans="1:5" x14ac:dyDescent="0.3">
      <c r="A50" t="s">
        <v>54</v>
      </c>
      <c r="B50">
        <v>1.387</v>
      </c>
      <c r="C50">
        <v>300</v>
      </c>
      <c r="D50">
        <v>1.3895999999999999</v>
      </c>
      <c r="E50" s="3">
        <f t="shared" si="1"/>
        <v>8.6666666666664527E-6</v>
      </c>
    </row>
    <row r="51" spans="1:5" x14ac:dyDescent="0.3">
      <c r="A51" t="s">
        <v>55</v>
      </c>
      <c r="B51">
        <v>1.3886000000000001</v>
      </c>
      <c r="C51">
        <v>250</v>
      </c>
      <c r="D51">
        <v>1.3948</v>
      </c>
      <c r="E51" s="3">
        <f t="shared" si="1"/>
        <v>2.4799999999999932E-5</v>
      </c>
    </row>
    <row r="52" spans="1:5" x14ac:dyDescent="0.3">
      <c r="A52" t="s">
        <v>56</v>
      </c>
      <c r="B52">
        <v>1.3903000000000001</v>
      </c>
      <c r="C52">
        <v>248</v>
      </c>
      <c r="D52">
        <v>1.3975</v>
      </c>
      <c r="E52" s="3">
        <f t="shared" si="1"/>
        <v>2.9032258064515618E-5</v>
      </c>
    </row>
    <row r="53" spans="1:5" x14ac:dyDescent="0.3">
      <c r="A53" t="s">
        <v>57</v>
      </c>
      <c r="B53">
        <v>1.4033</v>
      </c>
      <c r="C53">
        <v>368</v>
      </c>
      <c r="D53">
        <v>1.4051</v>
      </c>
      <c r="E53" s="3">
        <f t="shared" si="1"/>
        <v>4.8913043478261517E-6</v>
      </c>
    </row>
    <row r="54" spans="1:5" x14ac:dyDescent="0.3">
      <c r="A54" t="s">
        <v>58</v>
      </c>
      <c r="B54">
        <v>9.9838000000000005</v>
      </c>
      <c r="C54">
        <v>240</v>
      </c>
      <c r="D54">
        <v>9.9884000000000004</v>
      </c>
      <c r="E54" s="3">
        <f t="shared" si="1"/>
        <v>1.9166666666666406E-5</v>
      </c>
    </row>
    <row r="55" spans="1:5" x14ac:dyDescent="0.3">
      <c r="A55" t="s">
        <v>59</v>
      </c>
      <c r="B55">
        <v>1.3972</v>
      </c>
      <c r="C55">
        <v>150</v>
      </c>
      <c r="D55">
        <v>1.4016999999999999</v>
      </c>
      <c r="E55" s="3">
        <f t="shared" si="1"/>
        <v>2.9999999999999655E-5</v>
      </c>
    </row>
    <row r="56" spans="1:5" x14ac:dyDescent="0.3">
      <c r="A56" t="s">
        <v>60</v>
      </c>
      <c r="B56">
        <v>1.379</v>
      </c>
      <c r="C56">
        <v>250</v>
      </c>
      <c r="D56">
        <v>1.3824000000000001</v>
      </c>
      <c r="E56" s="3">
        <f t="shared" si="1"/>
        <v>1.3600000000000278E-5</v>
      </c>
    </row>
    <row r="57" spans="1:5" x14ac:dyDescent="0.3">
      <c r="A57" t="s">
        <v>61</v>
      </c>
      <c r="B57">
        <v>1.3916999999999999</v>
      </c>
      <c r="C57">
        <v>250</v>
      </c>
      <c r="D57">
        <v>1.3964000000000001</v>
      </c>
      <c r="E57" s="3">
        <f t="shared" si="1"/>
        <v>1.8800000000000592E-5</v>
      </c>
    </row>
    <row r="58" spans="1:5" x14ac:dyDescent="0.3">
      <c r="A58" t="s">
        <v>62</v>
      </c>
      <c r="B58">
        <v>1.4340999999999999</v>
      </c>
      <c r="C58">
        <v>150</v>
      </c>
      <c r="D58">
        <v>1.4386000000000001</v>
      </c>
      <c r="E58" s="3">
        <f t="shared" si="1"/>
        <v>3.0000000000001136E-5</v>
      </c>
    </row>
    <row r="59" spans="1:5" x14ac:dyDescent="0.3">
      <c r="A59" t="s">
        <v>63</v>
      </c>
      <c r="B59">
        <v>1.3869</v>
      </c>
      <c r="C59">
        <v>300</v>
      </c>
      <c r="D59">
        <v>1.3900999999999999</v>
      </c>
      <c r="E59" s="3">
        <f t="shared" si="1"/>
        <v>1.0666666666666232E-5</v>
      </c>
    </row>
    <row r="60" spans="1:5" x14ac:dyDescent="0.3">
      <c r="A60" t="s">
        <v>64</v>
      </c>
      <c r="B60">
        <v>1.3936999999999999</v>
      </c>
      <c r="C60">
        <v>150</v>
      </c>
      <c r="D60">
        <v>1.3993</v>
      </c>
      <c r="E60" s="3">
        <f t="shared" si="1"/>
        <v>3.7333333333333663E-5</v>
      </c>
    </row>
    <row r="61" spans="1:5" x14ac:dyDescent="0.3">
      <c r="A61" t="s">
        <v>65</v>
      </c>
      <c r="B61">
        <v>1.3884000000000001</v>
      </c>
      <c r="C61">
        <v>250</v>
      </c>
      <c r="D61">
        <v>1.3915999999999999</v>
      </c>
      <c r="E61" s="3">
        <f t="shared" si="1"/>
        <v>1.2799999999999478E-5</v>
      </c>
    </row>
    <row r="62" spans="1:5" x14ac:dyDescent="0.3">
      <c r="A62" t="s">
        <v>66</v>
      </c>
      <c r="B62">
        <v>1.3879999999999999</v>
      </c>
      <c r="C62">
        <v>400</v>
      </c>
      <c r="D62">
        <v>1.3925000000000001</v>
      </c>
      <c r="E62" s="3">
        <f t="shared" si="1"/>
        <v>1.1250000000000426E-5</v>
      </c>
    </row>
    <row r="63" spans="1:5" x14ac:dyDescent="0.3">
      <c r="A63" t="s">
        <v>67</v>
      </c>
      <c r="B63">
        <v>1.3886000000000001</v>
      </c>
      <c r="C63">
        <v>400</v>
      </c>
      <c r="D63">
        <v>1.3962000000000001</v>
      </c>
      <c r="E63" s="3">
        <f t="shared" si="1"/>
        <v>1.9000000000000126E-5</v>
      </c>
    </row>
    <row r="64" spans="1:5" x14ac:dyDescent="0.3">
      <c r="A64" t="s">
        <v>68</v>
      </c>
      <c r="B64">
        <v>1.389</v>
      </c>
      <c r="C64">
        <v>400</v>
      </c>
      <c r="D64">
        <v>1.3939999999999999</v>
      </c>
      <c r="E64" s="3">
        <f t="shared" si="1"/>
        <v>1.2499999999999733E-5</v>
      </c>
    </row>
    <row r="65" spans="1:5" x14ac:dyDescent="0.3">
      <c r="A65" t="s">
        <v>69</v>
      </c>
      <c r="B65">
        <v>1.3916999999999999</v>
      </c>
      <c r="C65">
        <v>400</v>
      </c>
      <c r="D65">
        <v>1.3929</v>
      </c>
      <c r="E65" s="3">
        <f t="shared" si="1"/>
        <v>3.0000000000002245E-6</v>
      </c>
    </row>
    <row r="66" spans="1:5" x14ac:dyDescent="0.3">
      <c r="A66" t="s">
        <v>70</v>
      </c>
      <c r="B66">
        <v>1.3967000000000001</v>
      </c>
      <c r="C66">
        <v>400</v>
      </c>
      <c r="D66">
        <v>1.3994</v>
      </c>
      <c r="E66" s="3">
        <f t="shared" si="1"/>
        <v>6.7499999999998117E-6</v>
      </c>
    </row>
    <row r="67" spans="1:5" x14ac:dyDescent="0.3">
      <c r="A67" t="s">
        <v>71</v>
      </c>
      <c r="B67">
        <v>1.4368000000000001</v>
      </c>
      <c r="C67">
        <v>400</v>
      </c>
      <c r="D67">
        <v>1.4382999999999999</v>
      </c>
      <c r="E67" s="3">
        <f t="shared" si="1"/>
        <v>3.7499999999995872E-6</v>
      </c>
    </row>
    <row r="68" spans="1:5" x14ac:dyDescent="0.3">
      <c r="A68" t="s">
        <v>72</v>
      </c>
      <c r="B68">
        <v>1.4291</v>
      </c>
      <c r="C68">
        <v>125</v>
      </c>
      <c r="D68">
        <v>1.4329000000000001</v>
      </c>
      <c r="E68" s="3">
        <f t="shared" si="1"/>
        <v>3.0400000000000204E-5</v>
      </c>
    </row>
    <row r="69" spans="1:5" x14ac:dyDescent="0.3">
      <c r="A69" t="s">
        <v>73</v>
      </c>
      <c r="B69">
        <v>1.3827</v>
      </c>
      <c r="C69">
        <v>410</v>
      </c>
      <c r="D69">
        <v>1.3871</v>
      </c>
      <c r="E69" s="3">
        <f t="shared" si="1"/>
        <v>1.0731707317073072E-5</v>
      </c>
    </row>
    <row r="70" spans="1:5" x14ac:dyDescent="0.3">
      <c r="A70" t="s">
        <v>74</v>
      </c>
      <c r="B70">
        <v>1.393</v>
      </c>
      <c r="C70">
        <v>400</v>
      </c>
      <c r="D70">
        <v>1.4009</v>
      </c>
      <c r="E70" s="3">
        <f t="shared" si="1"/>
        <v>1.9750000000000046E-5</v>
      </c>
    </row>
    <row r="71" spans="1:5" x14ac:dyDescent="0.3">
      <c r="A71" t="s">
        <v>75</v>
      </c>
      <c r="B71">
        <v>1.3882000000000001</v>
      </c>
      <c r="C71">
        <v>155</v>
      </c>
      <c r="D71">
        <v>1.3924000000000001</v>
      </c>
      <c r="E71" s="3">
        <f t="shared" si="1"/>
        <v>2.7096774193548269E-5</v>
      </c>
    </row>
    <row r="72" spans="1:5" x14ac:dyDescent="0.3">
      <c r="A72" t="s">
        <v>76</v>
      </c>
      <c r="B72">
        <v>1.3895</v>
      </c>
      <c r="C72">
        <v>155</v>
      </c>
      <c r="D72">
        <v>1.3932</v>
      </c>
      <c r="E72" s="3">
        <f t="shared" si="1"/>
        <v>2.387096774193572E-5</v>
      </c>
    </row>
    <row r="73" spans="1:5" x14ac:dyDescent="0.3">
      <c r="A73" t="s">
        <v>77</v>
      </c>
      <c r="B73">
        <v>1.3942000000000001</v>
      </c>
      <c r="C73">
        <v>100</v>
      </c>
      <c r="D73">
        <v>1.3998999999999999</v>
      </c>
      <c r="E73" s="3">
        <f t="shared" si="1"/>
        <v>5.699999999999816E-5</v>
      </c>
    </row>
    <row r="74" spans="1:5" x14ac:dyDescent="0.3">
      <c r="A74" t="s">
        <v>78</v>
      </c>
      <c r="B74">
        <v>1.3971</v>
      </c>
      <c r="C74">
        <v>285</v>
      </c>
      <c r="D74">
        <v>1.4023000000000001</v>
      </c>
      <c r="E74" s="3">
        <f t="shared" si="1"/>
        <v>1.8245614035088047E-5</v>
      </c>
    </row>
    <row r="75" spans="1:5" x14ac:dyDescent="0.3">
      <c r="A75" t="s">
        <v>79</v>
      </c>
      <c r="B75">
        <v>1.3871</v>
      </c>
      <c r="C75">
        <v>400</v>
      </c>
      <c r="D75">
        <v>1.3916999999999999</v>
      </c>
      <c r="E75" s="3">
        <f t="shared" si="1"/>
        <v>1.1499999999999844E-5</v>
      </c>
    </row>
    <row r="76" spans="1:5" x14ac:dyDescent="0.3">
      <c r="A76" t="s">
        <v>80</v>
      </c>
      <c r="B76">
        <v>1.3854</v>
      </c>
      <c r="C76">
        <v>200</v>
      </c>
      <c r="D76">
        <v>1.3911</v>
      </c>
      <c r="E76" s="3">
        <f t="shared" si="1"/>
        <v>2.8500000000000191E-5</v>
      </c>
    </row>
    <row r="77" spans="1:5" x14ac:dyDescent="0.3">
      <c r="A77" t="s">
        <v>81</v>
      </c>
      <c r="B77">
        <v>1.3818999999999999</v>
      </c>
      <c r="C77">
        <v>200</v>
      </c>
      <c r="D77">
        <v>1.3863000000000001</v>
      </c>
      <c r="E77" s="3">
        <f t="shared" si="1"/>
        <v>2.2000000000000907E-5</v>
      </c>
    </row>
    <row r="78" spans="1:5" x14ac:dyDescent="0.3">
      <c r="A78" t="s">
        <v>82</v>
      </c>
      <c r="B78">
        <v>1.3885000000000001</v>
      </c>
      <c r="C78">
        <v>105</v>
      </c>
      <c r="D78">
        <v>1.3945000000000001</v>
      </c>
      <c r="E78" s="3">
        <f t="shared" si="1"/>
        <v>5.7142857142857196E-5</v>
      </c>
    </row>
    <row r="79" spans="1:5" x14ac:dyDescent="0.3">
      <c r="A79" t="s">
        <v>83</v>
      </c>
      <c r="B79">
        <v>1.3900999999999999</v>
      </c>
      <c r="C79">
        <v>400</v>
      </c>
      <c r="D79">
        <v>1.3956</v>
      </c>
      <c r="E79" s="3">
        <f t="shared" si="1"/>
        <v>1.3750000000000151E-5</v>
      </c>
    </row>
    <row r="80" spans="1:5" x14ac:dyDescent="0.3">
      <c r="A80" t="s">
        <v>84</v>
      </c>
      <c r="B80">
        <v>1.3894</v>
      </c>
      <c r="C80">
        <v>75</v>
      </c>
      <c r="D80">
        <v>1.3955</v>
      </c>
      <c r="E80" s="3">
        <f t="shared" si="1"/>
        <v>8.1333333333333255E-5</v>
      </c>
    </row>
    <row r="81" spans="1:5" x14ac:dyDescent="0.3">
      <c r="A81" t="s">
        <v>85</v>
      </c>
      <c r="B81">
        <v>1.3787</v>
      </c>
      <c r="C81">
        <v>90</v>
      </c>
      <c r="D81">
        <v>1.3828</v>
      </c>
      <c r="E81" s="3">
        <f t="shared" si="1"/>
        <v>4.5555555555555471E-5</v>
      </c>
    </row>
    <row r="82" spans="1:5" x14ac:dyDescent="0.3">
      <c r="A82" t="s">
        <v>86</v>
      </c>
      <c r="B82">
        <v>1.3903000000000001</v>
      </c>
      <c r="C82">
        <v>75</v>
      </c>
      <c r="D82">
        <v>1.3936999999999999</v>
      </c>
      <c r="E82" s="3">
        <f t="shared" si="1"/>
        <v>4.5333333333331302E-5</v>
      </c>
    </row>
    <row r="83" spans="1:5" x14ac:dyDescent="0.3">
      <c r="A83" t="s">
        <v>87</v>
      </c>
      <c r="B83">
        <v>1.3741000000000001</v>
      </c>
      <c r="C83">
        <v>50</v>
      </c>
      <c r="D83">
        <v>1.3774999999999999</v>
      </c>
      <c r="E83" s="3">
        <f t="shared" si="1"/>
        <v>6.799999999999695E-5</v>
      </c>
    </row>
    <row r="84" spans="1:5" x14ac:dyDescent="0.3">
      <c r="A84" t="s">
        <v>88</v>
      </c>
      <c r="B84">
        <v>1.3842000000000001</v>
      </c>
      <c r="C84">
        <v>50</v>
      </c>
      <c r="D84">
        <v>1.3893</v>
      </c>
      <c r="E84" s="3">
        <f t="shared" si="1"/>
        <v>1.0199999999999765E-4</v>
      </c>
    </row>
    <row r="85" spans="1:5" x14ac:dyDescent="0.3">
      <c r="A85" t="s">
        <v>89</v>
      </c>
      <c r="B85">
        <v>1.393</v>
      </c>
      <c r="C85">
        <v>200</v>
      </c>
      <c r="D85">
        <v>1.3977999999999999</v>
      </c>
      <c r="E85" s="3">
        <f t="shared" si="1"/>
        <v>2.3999999999999577E-5</v>
      </c>
    </row>
    <row r="86" spans="1:5" x14ac:dyDescent="0.3">
      <c r="A86" t="s">
        <v>90</v>
      </c>
      <c r="B86">
        <v>1.3806</v>
      </c>
      <c r="C86">
        <v>150</v>
      </c>
      <c r="D86">
        <v>1.3875</v>
      </c>
      <c r="E86" s="3">
        <f t="shared" si="1"/>
        <v>4.5999999999999377E-5</v>
      </c>
    </row>
    <row r="87" spans="1:5" x14ac:dyDescent="0.3">
      <c r="A87" t="s">
        <v>91</v>
      </c>
      <c r="B87">
        <v>1.3866000000000001</v>
      </c>
      <c r="C87">
        <v>160</v>
      </c>
      <c r="D87">
        <v>1.3926000000000001</v>
      </c>
      <c r="E87" s="3">
        <f t="shared" si="1"/>
        <v>3.7500000000000031E-5</v>
      </c>
    </row>
    <row r="88" spans="1:5" x14ac:dyDescent="0.3">
      <c r="A88" t="s">
        <v>92</v>
      </c>
      <c r="B88">
        <v>1.3871</v>
      </c>
      <c r="C88">
        <v>100</v>
      </c>
      <c r="D88">
        <v>1.3922000000000001</v>
      </c>
      <c r="E88" s="3">
        <f t="shared" si="1"/>
        <v>5.1000000000001043E-5</v>
      </c>
    </row>
    <row r="89" spans="1:5" x14ac:dyDescent="0.3">
      <c r="A89" t="s">
        <v>93</v>
      </c>
      <c r="B89">
        <v>1.395</v>
      </c>
      <c r="C89">
        <v>150</v>
      </c>
      <c r="D89">
        <v>1.4005000000000001</v>
      </c>
      <c r="E89" s="3">
        <f t="shared" si="1"/>
        <v>3.6666666666667072E-5</v>
      </c>
    </row>
    <row r="90" spans="1:5" x14ac:dyDescent="0.3">
      <c r="A90" t="s">
        <v>94</v>
      </c>
      <c r="B90">
        <v>1.3883000000000001</v>
      </c>
      <c r="C90">
        <v>150</v>
      </c>
      <c r="D90">
        <v>1.3935999999999999</v>
      </c>
      <c r="E90" s="3">
        <f t="shared" si="1"/>
        <v>3.5333333333332401E-5</v>
      </c>
    </row>
    <row r="91" spans="1:5" x14ac:dyDescent="0.3">
      <c r="A91" t="s">
        <v>95</v>
      </c>
      <c r="B91">
        <v>9.9845000000000006</v>
      </c>
      <c r="C91">
        <v>100</v>
      </c>
      <c r="D91">
        <v>9.9893999999999998</v>
      </c>
      <c r="E91" s="3">
        <f t="shared" si="1"/>
        <v>4.8999999999992382E-5</v>
      </c>
    </row>
    <row r="92" spans="1:5" x14ac:dyDescent="0.3">
      <c r="A92" t="s">
        <v>96</v>
      </c>
      <c r="B92">
        <v>1.3888</v>
      </c>
      <c r="C92">
        <v>22</v>
      </c>
      <c r="D92">
        <v>1.3929</v>
      </c>
      <c r="E92" s="3">
        <f t="shared" si="1"/>
        <v>1.8636363636363601E-4</v>
      </c>
    </row>
    <row r="93" spans="1:5" x14ac:dyDescent="0.3">
      <c r="A93" t="s">
        <v>97</v>
      </c>
      <c r="B93">
        <v>1.3818999999999999</v>
      </c>
      <c r="C93">
        <v>41</v>
      </c>
      <c r="D93">
        <v>1.3818999999999999</v>
      </c>
      <c r="E93" s="3">
        <f t="shared" si="1"/>
        <v>0</v>
      </c>
    </row>
    <row r="94" spans="1:5" x14ac:dyDescent="0.3">
      <c r="A94" t="s">
        <v>98</v>
      </c>
      <c r="B94">
        <v>1.4008</v>
      </c>
      <c r="C94">
        <v>50</v>
      </c>
      <c r="D94">
        <v>1.4008</v>
      </c>
      <c r="E94" s="3">
        <f t="shared" si="1"/>
        <v>0</v>
      </c>
    </row>
    <row r="95" spans="1:5" x14ac:dyDescent="0.3">
      <c r="A95" t="s">
        <v>99</v>
      </c>
      <c r="B95">
        <v>1.3915</v>
      </c>
      <c r="C95">
        <v>40</v>
      </c>
      <c r="D95">
        <v>1.3915</v>
      </c>
      <c r="E95" s="3">
        <f t="shared" si="1"/>
        <v>0</v>
      </c>
    </row>
    <row r="96" spans="1:5" x14ac:dyDescent="0.3">
      <c r="A96" t="s">
        <v>100</v>
      </c>
      <c r="B96">
        <v>1.3892</v>
      </c>
      <c r="C96">
        <v>20</v>
      </c>
      <c r="D96">
        <v>1.3892</v>
      </c>
      <c r="E96" s="3">
        <f t="shared" si="1"/>
        <v>0</v>
      </c>
    </row>
    <row r="97" spans="1:5" x14ac:dyDescent="0.3">
      <c r="A97" t="s">
        <v>101</v>
      </c>
      <c r="B97">
        <v>1.387</v>
      </c>
      <c r="C97">
        <v>85</v>
      </c>
      <c r="D97">
        <v>1.3952</v>
      </c>
      <c r="E97" s="3">
        <f t="shared" si="1"/>
        <v>9.6470588235293947E-5</v>
      </c>
    </row>
    <row r="98" spans="1:5" x14ac:dyDescent="0.3">
      <c r="A98" t="s">
        <v>102</v>
      </c>
      <c r="B98">
        <v>1.325</v>
      </c>
      <c r="C98">
        <v>5</v>
      </c>
      <c r="D98">
        <v>1.3311999999999999</v>
      </c>
      <c r="E98" s="3">
        <f t="shared" si="1"/>
        <v>1.2399999999999967E-3</v>
      </c>
    </row>
    <row r="99" spans="1:5" x14ac:dyDescent="0.3">
      <c r="A99" t="s">
        <v>103</v>
      </c>
      <c r="B99">
        <v>1.3948</v>
      </c>
      <c r="C99">
        <v>5</v>
      </c>
      <c r="D99">
        <v>1.4045000000000001</v>
      </c>
      <c r="E99" s="3">
        <f t="shared" si="1"/>
        <v>1.9400000000000083E-3</v>
      </c>
    </row>
    <row r="100" spans="1:5" x14ac:dyDescent="0.3">
      <c r="A100" t="s">
        <v>104</v>
      </c>
    </row>
    <row r="101" spans="1:5" x14ac:dyDescent="0.3">
      <c r="A101" t="s">
        <v>105</v>
      </c>
      <c r="B101">
        <v>1.3826000000000001</v>
      </c>
      <c r="C101">
        <v>5</v>
      </c>
      <c r="D101">
        <v>1.3911</v>
      </c>
      <c r="E101" s="3">
        <f>(D101-B101)/C101</f>
        <v>1.6999999999999904E-3</v>
      </c>
    </row>
    <row r="102" spans="1:5" x14ac:dyDescent="0.3">
      <c r="A102" t="s">
        <v>106</v>
      </c>
    </row>
    <row r="103" spans="1:5" x14ac:dyDescent="0.3">
      <c r="A103" t="s">
        <v>107</v>
      </c>
      <c r="B103">
        <v>1.3978999999999999</v>
      </c>
      <c r="C103">
        <v>5</v>
      </c>
      <c r="D103">
        <v>1.4074</v>
      </c>
      <c r="E103" s="3">
        <f>(D103-B103)/C103</f>
        <v>1.9000000000000128E-3</v>
      </c>
    </row>
    <row r="104" spans="1:5" x14ac:dyDescent="0.3">
      <c r="A104" t="s">
        <v>108</v>
      </c>
      <c r="B104">
        <v>1.3947000000000001</v>
      </c>
      <c r="C104">
        <v>5</v>
      </c>
      <c r="D104">
        <v>1.4065000000000001</v>
      </c>
      <c r="E104" s="3">
        <f>(D104-B104)/C104</f>
        <v>2.3600000000000066E-3</v>
      </c>
    </row>
    <row r="105" spans="1:5" x14ac:dyDescent="0.3">
      <c r="A105" t="s">
        <v>109</v>
      </c>
      <c r="B105">
        <v>1.4006000000000001</v>
      </c>
      <c r="C105">
        <v>5</v>
      </c>
      <c r="D105">
        <v>1.4142999999999999</v>
      </c>
      <c r="E105" s="3">
        <f>(D105-B105)/C105</f>
        <v>2.7399999999999647E-3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008-4045-45A2-882E-B24D4FFD06EA}">
  <dimension ref="A1:E105"/>
  <sheetViews>
    <sheetView tabSelected="1" workbookViewId="0">
      <selection activeCell="E1" sqref="E1"/>
    </sheetView>
  </sheetViews>
  <sheetFormatPr defaultRowHeight="14.4" x14ac:dyDescent="0.3"/>
  <cols>
    <col min="2" max="2" width="13.88671875" customWidth="1"/>
    <col min="3" max="3" width="13.21875" customWidth="1"/>
    <col min="4" max="4" width="14.44140625" customWidth="1"/>
    <col min="5" max="5" width="10.33203125" customWidth="1"/>
  </cols>
  <sheetData>
    <row r="1" spans="1:5" ht="43.2" x14ac:dyDescent="0.3">
      <c r="A1" t="s">
        <v>0</v>
      </c>
      <c r="B1" s="1" t="s">
        <v>111</v>
      </c>
      <c r="C1" s="1" t="s">
        <v>112</v>
      </c>
      <c r="D1" s="1" t="s">
        <v>114</v>
      </c>
      <c r="E1" s="2" t="s">
        <v>113</v>
      </c>
    </row>
    <row r="2" spans="1:5" x14ac:dyDescent="0.3">
      <c r="A2" t="s">
        <v>6</v>
      </c>
      <c r="B2">
        <v>27.1494</v>
      </c>
      <c r="C2">
        <v>18.651499999999999</v>
      </c>
      <c r="D2">
        <v>27.178100000000001</v>
      </c>
      <c r="E2" s="3">
        <f>(D2-B2)/C2</f>
        <v>1.5387502345656176E-3</v>
      </c>
    </row>
    <row r="3" spans="1:5" x14ac:dyDescent="0.3">
      <c r="A3" t="s">
        <v>7</v>
      </c>
      <c r="B3">
        <v>27.742899999999999</v>
      </c>
      <c r="C3">
        <v>19.154399999999999</v>
      </c>
      <c r="D3">
        <v>27.77</v>
      </c>
      <c r="E3" s="3">
        <f>(D3-B3)/C3</f>
        <v>1.4148185273357972E-3</v>
      </c>
    </row>
    <row r="4" spans="1:5" x14ac:dyDescent="0.3">
      <c r="A4" t="s">
        <v>8</v>
      </c>
      <c r="B4">
        <v>31.2864</v>
      </c>
      <c r="C4">
        <v>18.5319</v>
      </c>
      <c r="D4">
        <v>31.316700000000001</v>
      </c>
      <c r="E4" s="3">
        <f t="shared" ref="E4:E73" si="0">(D4-B4)/C4</f>
        <v>1.6350185356061946E-3</v>
      </c>
    </row>
    <row r="5" spans="1:5" x14ac:dyDescent="0.3">
      <c r="A5" t="s">
        <v>9</v>
      </c>
      <c r="B5">
        <v>29.912500000000001</v>
      </c>
      <c r="C5">
        <v>19.3871</v>
      </c>
      <c r="D5">
        <v>29.944600000000001</v>
      </c>
      <c r="E5" s="3">
        <f t="shared" si="0"/>
        <v>1.6557401571147719E-3</v>
      </c>
    </row>
    <row r="6" spans="1:5" x14ac:dyDescent="0.3">
      <c r="A6" t="s">
        <v>10</v>
      </c>
      <c r="B6">
        <v>27.333400000000001</v>
      </c>
      <c r="C6">
        <v>18.244700000000002</v>
      </c>
      <c r="D6">
        <v>27.353899999999999</v>
      </c>
      <c r="E6" s="3">
        <f t="shared" si="0"/>
        <v>1.1236139810464631E-3</v>
      </c>
    </row>
    <row r="7" spans="1:5" x14ac:dyDescent="0.3">
      <c r="A7" t="s">
        <v>11</v>
      </c>
      <c r="B7">
        <v>27.735700000000001</v>
      </c>
      <c r="C7">
        <v>18.638999999999999</v>
      </c>
      <c r="D7">
        <v>27.747800000000002</v>
      </c>
      <c r="E7" s="3">
        <f t="shared" si="0"/>
        <v>6.49176457964495E-4</v>
      </c>
    </row>
    <row r="8" spans="1:5" x14ac:dyDescent="0.3">
      <c r="A8" t="s">
        <v>12</v>
      </c>
      <c r="B8">
        <v>28.122900000000001</v>
      </c>
      <c r="C8">
        <v>19.273099999999999</v>
      </c>
      <c r="D8">
        <v>28.161999999999999</v>
      </c>
      <c r="E8" s="3">
        <f t="shared" si="0"/>
        <v>2.028734349948773E-3</v>
      </c>
    </row>
    <row r="9" spans="1:5" x14ac:dyDescent="0.3">
      <c r="A9" t="s">
        <v>13</v>
      </c>
      <c r="B9">
        <v>28.900200000000002</v>
      </c>
      <c r="C9">
        <v>19.6662</v>
      </c>
      <c r="D9">
        <v>28.926600000000001</v>
      </c>
      <c r="E9" s="3">
        <f t="shared" si="0"/>
        <v>1.3424047350275533E-3</v>
      </c>
    </row>
    <row r="10" spans="1:5" x14ac:dyDescent="0.3">
      <c r="A10" t="s">
        <v>14</v>
      </c>
      <c r="B10">
        <v>27.027899999999999</v>
      </c>
      <c r="C10">
        <v>19.763000000000002</v>
      </c>
      <c r="D10">
        <v>27.05</v>
      </c>
      <c r="E10" s="3">
        <f t="shared" si="0"/>
        <v>1.1182512776401247E-3</v>
      </c>
    </row>
    <row r="11" spans="1:5" x14ac:dyDescent="0.3">
      <c r="A11" t="s">
        <v>15</v>
      </c>
      <c r="B11">
        <v>31.027100000000001</v>
      </c>
      <c r="C11">
        <v>18.795200000000001</v>
      </c>
      <c r="D11">
        <v>31.060300000000002</v>
      </c>
      <c r="E11" s="3">
        <f t="shared" si="0"/>
        <v>1.7664084447093292E-3</v>
      </c>
    </row>
    <row r="12" spans="1:5" x14ac:dyDescent="0.3">
      <c r="A12" t="s">
        <v>16</v>
      </c>
      <c r="B12">
        <v>26.570900000000002</v>
      </c>
      <c r="C12">
        <v>19.787299999999998</v>
      </c>
      <c r="D12">
        <v>26.599399999999999</v>
      </c>
      <c r="E12" s="3">
        <f t="shared" si="0"/>
        <v>1.4403177795857711E-3</v>
      </c>
    </row>
    <row r="13" spans="1:5" x14ac:dyDescent="0.3">
      <c r="A13" t="s">
        <v>17</v>
      </c>
      <c r="B13">
        <v>31.043299999999999</v>
      </c>
      <c r="C13">
        <v>19.530200000000001</v>
      </c>
      <c r="D13">
        <v>31.068300000000001</v>
      </c>
      <c r="E13" s="3">
        <f t="shared" si="0"/>
        <v>1.2800688164996841E-3</v>
      </c>
    </row>
    <row r="14" spans="1:5" x14ac:dyDescent="0.3">
      <c r="A14" t="s">
        <v>18</v>
      </c>
      <c r="B14">
        <v>27.535499999999999</v>
      </c>
      <c r="C14">
        <v>19.293600000000001</v>
      </c>
      <c r="D14">
        <v>27.562200000000001</v>
      </c>
      <c r="E14" s="3">
        <f t="shared" si="0"/>
        <v>1.3838785918647489E-3</v>
      </c>
    </row>
    <row r="15" spans="1:5" x14ac:dyDescent="0.3">
      <c r="A15" t="s">
        <v>19</v>
      </c>
      <c r="B15">
        <v>30.366700000000002</v>
      </c>
      <c r="C15">
        <v>19.2621</v>
      </c>
      <c r="D15">
        <v>30.3931</v>
      </c>
      <c r="E15" s="3">
        <f t="shared" si="0"/>
        <v>1.3705670721260335E-3</v>
      </c>
    </row>
    <row r="16" spans="1:5" x14ac:dyDescent="0.3">
      <c r="A16" t="s">
        <v>20</v>
      </c>
      <c r="B16">
        <v>28.170500000000001</v>
      </c>
      <c r="C16">
        <v>19.588200000000001</v>
      </c>
      <c r="D16">
        <v>28.207100000000001</v>
      </c>
      <c r="E16" s="3">
        <f t="shared" si="0"/>
        <v>1.8684718350843858E-3</v>
      </c>
    </row>
    <row r="17" spans="1:5" x14ac:dyDescent="0.3">
      <c r="A17" t="s">
        <v>21</v>
      </c>
      <c r="B17">
        <v>27.220600000000001</v>
      </c>
      <c r="C17">
        <v>19.254899999999999</v>
      </c>
      <c r="D17">
        <v>27.248999999999999</v>
      </c>
      <c r="E17" s="3">
        <f t="shared" si="0"/>
        <v>1.4749492337014351E-3</v>
      </c>
    </row>
    <row r="18" spans="1:5" x14ac:dyDescent="0.3">
      <c r="A18" t="s">
        <v>22</v>
      </c>
      <c r="B18">
        <v>26.932200000000002</v>
      </c>
      <c r="C18">
        <v>19.313099999999999</v>
      </c>
      <c r="D18">
        <v>26.9573</v>
      </c>
      <c r="E18" s="3">
        <f t="shared" si="0"/>
        <v>1.2996359983637193E-3</v>
      </c>
    </row>
    <row r="19" spans="1:5" x14ac:dyDescent="0.3">
      <c r="A19" t="s">
        <v>23</v>
      </c>
      <c r="B19">
        <v>28.167200000000001</v>
      </c>
      <c r="C19">
        <v>19.323599999999999</v>
      </c>
      <c r="D19">
        <v>28.189299999999999</v>
      </c>
      <c r="E19" s="3">
        <f t="shared" si="0"/>
        <v>1.1436792316130656E-3</v>
      </c>
    </row>
    <row r="20" spans="1:5" x14ac:dyDescent="0.3">
      <c r="A20" t="s">
        <v>24</v>
      </c>
      <c r="B20">
        <v>27.050999999999998</v>
      </c>
      <c r="C20">
        <v>18.9148</v>
      </c>
      <c r="D20">
        <v>27.0838</v>
      </c>
      <c r="E20" s="3">
        <f t="shared" si="0"/>
        <v>1.7340918222768264E-3</v>
      </c>
    </row>
    <row r="21" spans="1:5" x14ac:dyDescent="0.3">
      <c r="A21" t="s">
        <v>25</v>
      </c>
      <c r="B21">
        <v>25.331399999999999</v>
      </c>
      <c r="C21">
        <v>19.029299999999999</v>
      </c>
      <c r="D21">
        <v>25.3583</v>
      </c>
      <c r="E21" s="3">
        <f t="shared" si="0"/>
        <v>1.4136095389741745E-3</v>
      </c>
    </row>
    <row r="22" spans="1:5" x14ac:dyDescent="0.3">
      <c r="A22" t="s">
        <v>26</v>
      </c>
      <c r="B22">
        <v>27.026800000000001</v>
      </c>
      <c r="C22">
        <v>19.708100000000002</v>
      </c>
      <c r="D22">
        <v>27.050599999999999</v>
      </c>
      <c r="E22" s="3">
        <f t="shared" si="0"/>
        <v>1.2076252911238435E-3</v>
      </c>
    </row>
    <row r="23" spans="1:5" x14ac:dyDescent="0.3">
      <c r="A23" t="s">
        <v>27</v>
      </c>
      <c r="B23">
        <v>25.993600000000001</v>
      </c>
      <c r="C23">
        <v>19.8752</v>
      </c>
      <c r="D23">
        <v>26.029</v>
      </c>
      <c r="E23" s="3">
        <f t="shared" si="0"/>
        <v>1.7811141523103773E-3</v>
      </c>
    </row>
    <row r="24" spans="1:5" x14ac:dyDescent="0.3">
      <c r="A24" t="s">
        <v>28</v>
      </c>
      <c r="B24">
        <v>31.0336</v>
      </c>
      <c r="C24">
        <v>19.796600000000002</v>
      </c>
      <c r="D24">
        <v>31.069199999999999</v>
      </c>
      <c r="E24" s="3">
        <f t="shared" si="0"/>
        <v>1.798288595011201E-3</v>
      </c>
    </row>
    <row r="25" spans="1:5" x14ac:dyDescent="0.3">
      <c r="A25" t="s">
        <v>29</v>
      </c>
      <c r="B25">
        <v>27.780200000000001</v>
      </c>
      <c r="C25">
        <v>19.880099999999999</v>
      </c>
      <c r="D25">
        <v>27.804099999999998</v>
      </c>
      <c r="E25" s="3">
        <f t="shared" si="0"/>
        <v>1.202207232357865E-3</v>
      </c>
    </row>
    <row r="26" spans="1:5" x14ac:dyDescent="0.3">
      <c r="A26" t="s">
        <v>30</v>
      </c>
      <c r="B26">
        <v>30.363299999999999</v>
      </c>
      <c r="C26">
        <v>17.8155</v>
      </c>
      <c r="D26">
        <v>30.394300000000001</v>
      </c>
      <c r="E26" s="3">
        <f t="shared" si="0"/>
        <v>1.7400578148243024E-3</v>
      </c>
    </row>
    <row r="27" spans="1:5" x14ac:dyDescent="0.3">
      <c r="A27" t="s">
        <v>31</v>
      </c>
      <c r="B27">
        <v>26.565200000000001</v>
      </c>
      <c r="C27">
        <v>19.231200000000001</v>
      </c>
      <c r="D27">
        <v>26.5913</v>
      </c>
      <c r="E27" s="3">
        <f t="shared" si="0"/>
        <v>1.3571695994009508E-3</v>
      </c>
    </row>
    <row r="28" spans="1:5" x14ac:dyDescent="0.3">
      <c r="A28" t="s">
        <v>32</v>
      </c>
      <c r="B28">
        <v>31.0275</v>
      </c>
      <c r="C28">
        <v>19.3185</v>
      </c>
      <c r="D28">
        <v>31.0915</v>
      </c>
      <c r="E28" s="3">
        <f t="shared" si="0"/>
        <v>3.3128866112793467E-3</v>
      </c>
    </row>
    <row r="29" spans="1:5" x14ac:dyDescent="0.3">
      <c r="A29" t="s">
        <v>33</v>
      </c>
      <c r="B29">
        <v>27.0261</v>
      </c>
      <c r="C29">
        <v>18.881399999999999</v>
      </c>
      <c r="D29">
        <v>27.0548</v>
      </c>
      <c r="E29" s="3">
        <f t="shared" si="0"/>
        <v>1.5200144057114734E-3</v>
      </c>
    </row>
    <row r="30" spans="1:5" x14ac:dyDescent="0.3">
      <c r="A30" t="s">
        <v>34</v>
      </c>
      <c r="B30">
        <v>28.899699999999999</v>
      </c>
      <c r="C30">
        <v>19.081700000000001</v>
      </c>
      <c r="D30">
        <v>28.922799999999999</v>
      </c>
      <c r="E30" s="3">
        <f t="shared" si="0"/>
        <v>1.210583962644809E-3</v>
      </c>
    </row>
    <row r="31" spans="1:5" x14ac:dyDescent="0.3">
      <c r="A31" t="s">
        <v>35</v>
      </c>
      <c r="B31">
        <v>27.0458</v>
      </c>
      <c r="C31">
        <v>18.9923</v>
      </c>
      <c r="D31">
        <v>27.069400000000002</v>
      </c>
      <c r="E31" s="3">
        <f t="shared" si="0"/>
        <v>1.2426088467432507E-3</v>
      </c>
    </row>
    <row r="32" spans="1:5" x14ac:dyDescent="0.3">
      <c r="A32" t="s">
        <v>36</v>
      </c>
      <c r="B32">
        <v>28.077500000000001</v>
      </c>
      <c r="C32">
        <v>19.001899999999999</v>
      </c>
      <c r="D32">
        <v>28.105699999999999</v>
      </c>
      <c r="E32" s="3">
        <f t="shared" si="0"/>
        <v>1.4840621201036859E-3</v>
      </c>
    </row>
    <row r="33" spans="1:5" x14ac:dyDescent="0.3">
      <c r="A33" t="s">
        <v>37</v>
      </c>
      <c r="B33">
        <v>32.479700000000001</v>
      </c>
      <c r="C33">
        <v>18.561599999999999</v>
      </c>
      <c r="D33">
        <v>32.505200000000002</v>
      </c>
      <c r="E33" s="3">
        <f t="shared" si="0"/>
        <v>1.3738039824153611E-3</v>
      </c>
    </row>
    <row r="34" spans="1:5" x14ac:dyDescent="0.3">
      <c r="A34" t="s">
        <v>38</v>
      </c>
      <c r="B34">
        <v>27.220199999999998</v>
      </c>
      <c r="C34">
        <v>19.105799999999999</v>
      </c>
      <c r="D34">
        <v>27.244299999999999</v>
      </c>
      <c r="E34" s="3">
        <f t="shared" si="0"/>
        <v>1.2613970626721037E-3</v>
      </c>
    </row>
    <row r="35" spans="1:5" x14ac:dyDescent="0.3">
      <c r="A35" t="s">
        <v>39</v>
      </c>
      <c r="B35">
        <v>25.992699999999999</v>
      </c>
      <c r="C35">
        <v>19.260899999999999</v>
      </c>
      <c r="D35">
        <v>26.031300000000002</v>
      </c>
      <c r="E35" s="3">
        <f t="shared" si="0"/>
        <v>2.004060038731441E-3</v>
      </c>
    </row>
    <row r="36" spans="1:5" x14ac:dyDescent="0.3">
      <c r="A36" t="s">
        <v>40</v>
      </c>
      <c r="B36">
        <v>27.0246</v>
      </c>
      <c r="C36">
        <v>19.2363</v>
      </c>
      <c r="D36">
        <v>27.064299999999999</v>
      </c>
      <c r="E36" s="3">
        <f t="shared" si="0"/>
        <v>2.0638064492651833E-3</v>
      </c>
    </row>
    <row r="37" spans="1:5" x14ac:dyDescent="0.3">
      <c r="A37" t="s">
        <v>41</v>
      </c>
      <c r="B37">
        <v>31.0427</v>
      </c>
      <c r="C37">
        <v>19.249700000000001</v>
      </c>
      <c r="D37">
        <v>31.0749</v>
      </c>
      <c r="E37" s="3">
        <f t="shared" si="0"/>
        <v>1.6727533416104959E-3</v>
      </c>
    </row>
    <row r="38" spans="1:5" x14ac:dyDescent="0.3">
      <c r="A38" t="s">
        <v>42</v>
      </c>
      <c r="B38">
        <v>27.781199999999998</v>
      </c>
      <c r="C38">
        <v>19.205300000000001</v>
      </c>
      <c r="D38">
        <v>27.819600000000001</v>
      </c>
      <c r="E38" s="3">
        <f t="shared" si="0"/>
        <v>1.9994480690227632E-3</v>
      </c>
    </row>
    <row r="39" spans="1:5" x14ac:dyDescent="0.3">
      <c r="A39" t="s">
        <v>43</v>
      </c>
      <c r="B39">
        <v>27.697800000000001</v>
      </c>
      <c r="C39">
        <v>19.1663</v>
      </c>
      <c r="D39">
        <v>27.732800000000001</v>
      </c>
      <c r="E39" s="3">
        <f t="shared" si="0"/>
        <v>1.8261218910274879E-3</v>
      </c>
    </row>
    <row r="40" spans="1:5" x14ac:dyDescent="0.3">
      <c r="A40" t="s">
        <v>44</v>
      </c>
      <c r="B40">
        <v>31.033999999999999</v>
      </c>
      <c r="C40">
        <v>18.4345</v>
      </c>
      <c r="D40">
        <v>31.055599999999998</v>
      </c>
      <c r="E40" s="3">
        <f t="shared" si="0"/>
        <v>1.1717160758360355E-3</v>
      </c>
    </row>
    <row r="41" spans="1:5" x14ac:dyDescent="0.3">
      <c r="A41" t="s">
        <v>45</v>
      </c>
      <c r="B41">
        <v>28.165600000000001</v>
      </c>
      <c r="C41">
        <v>19.1126</v>
      </c>
      <c r="D41">
        <v>28.1905</v>
      </c>
      <c r="E41" s="3">
        <f t="shared" si="0"/>
        <v>1.3028054791079607E-3</v>
      </c>
    </row>
    <row r="42" spans="1:5" x14ac:dyDescent="0.3">
      <c r="A42" t="s">
        <v>46</v>
      </c>
      <c r="B42">
        <v>27.332799999999999</v>
      </c>
      <c r="C42">
        <v>19.173400000000001</v>
      </c>
      <c r="D42">
        <v>27.3537</v>
      </c>
      <c r="E42" s="3">
        <f t="shared" si="0"/>
        <v>1.0900518426570681E-3</v>
      </c>
    </row>
    <row r="43" spans="1:5" x14ac:dyDescent="0.3">
      <c r="A43" t="s">
        <v>47</v>
      </c>
      <c r="B43">
        <v>29.9116</v>
      </c>
      <c r="C43">
        <v>18.901499999999999</v>
      </c>
      <c r="D43">
        <v>29.9377</v>
      </c>
      <c r="E43" s="3">
        <f t="shared" si="0"/>
        <v>1.3808427902547188E-3</v>
      </c>
    </row>
    <row r="44" spans="1:5" x14ac:dyDescent="0.3">
      <c r="A44" t="s">
        <v>48</v>
      </c>
      <c r="B44">
        <v>27.1496</v>
      </c>
      <c r="C44">
        <v>18.980399999999999</v>
      </c>
      <c r="D44">
        <v>27.177800000000001</v>
      </c>
      <c r="E44" s="3">
        <f t="shared" si="0"/>
        <v>1.4857431877095203E-3</v>
      </c>
    </row>
    <row r="45" spans="1:5" x14ac:dyDescent="0.3">
      <c r="A45" t="s">
        <v>49</v>
      </c>
      <c r="B45">
        <v>27.534300000000002</v>
      </c>
      <c r="C45">
        <v>18.717099999999999</v>
      </c>
      <c r="D45">
        <v>27.559200000000001</v>
      </c>
      <c r="E45" s="3">
        <f t="shared" si="0"/>
        <v>1.3303342932398082E-3</v>
      </c>
    </row>
    <row r="46" spans="1:5" x14ac:dyDescent="0.3">
      <c r="A46" t="s">
        <v>50</v>
      </c>
      <c r="B46">
        <v>28.170999999999999</v>
      </c>
      <c r="C46">
        <v>19.221399999999999</v>
      </c>
      <c r="D46">
        <v>28.195399999999999</v>
      </c>
      <c r="E46" s="3">
        <f t="shared" si="0"/>
        <v>1.2694184606740393E-3</v>
      </c>
    </row>
    <row r="47" spans="1:5" x14ac:dyDescent="0.3">
      <c r="A47" t="s">
        <v>51</v>
      </c>
      <c r="B47">
        <v>25.321899999999999</v>
      </c>
      <c r="C47">
        <v>19.28</v>
      </c>
      <c r="D47">
        <v>25.349599999999999</v>
      </c>
      <c r="E47" s="3">
        <f t="shared" si="0"/>
        <v>1.4367219917012131E-3</v>
      </c>
    </row>
    <row r="48" spans="1:5" x14ac:dyDescent="0.3">
      <c r="A48" t="s">
        <v>52</v>
      </c>
      <c r="B48">
        <v>28.120100000000001</v>
      </c>
      <c r="C48">
        <v>18.774999999999999</v>
      </c>
      <c r="D48">
        <v>28.150099999999998</v>
      </c>
      <c r="E48" s="3">
        <f t="shared" si="0"/>
        <v>1.59786950732344E-3</v>
      </c>
    </row>
    <row r="49" spans="1:5" x14ac:dyDescent="0.3">
      <c r="A49" t="s">
        <v>53</v>
      </c>
      <c r="B49">
        <v>26.933900000000001</v>
      </c>
      <c r="C49">
        <v>19.242599999999999</v>
      </c>
      <c r="D49">
        <v>26.955500000000001</v>
      </c>
      <c r="E49" s="3">
        <f t="shared" si="0"/>
        <v>1.1225094321972808E-3</v>
      </c>
    </row>
    <row r="50" spans="1:5" x14ac:dyDescent="0.3">
      <c r="A50" t="s">
        <v>54</v>
      </c>
      <c r="B50">
        <v>28.170400000000001</v>
      </c>
      <c r="C50">
        <v>19.2576</v>
      </c>
      <c r="D50">
        <v>28.197399999999998</v>
      </c>
      <c r="E50" s="3">
        <f t="shared" si="0"/>
        <v>1.4020438683946842E-3</v>
      </c>
    </row>
    <row r="51" spans="1:5" x14ac:dyDescent="0.3">
      <c r="A51" t="s">
        <v>55</v>
      </c>
      <c r="B51">
        <v>32.481400000000001</v>
      </c>
      <c r="C51">
        <v>19.124300000000002</v>
      </c>
      <c r="D51">
        <v>32.506999999999998</v>
      </c>
      <c r="E51" s="3">
        <f t="shared" si="0"/>
        <v>1.3386110864187018E-3</v>
      </c>
    </row>
    <row r="52" spans="1:5" x14ac:dyDescent="0.3">
      <c r="A52" t="s">
        <v>56</v>
      </c>
      <c r="B52">
        <v>25.323399999999999</v>
      </c>
      <c r="C52">
        <v>19.035499999999999</v>
      </c>
      <c r="D52">
        <v>25.350100000000001</v>
      </c>
      <c r="E52" s="3">
        <f t="shared" si="0"/>
        <v>1.4026424312469715E-3</v>
      </c>
    </row>
    <row r="53" spans="1:5" x14ac:dyDescent="0.3">
      <c r="A53" t="s">
        <v>57</v>
      </c>
      <c r="B53">
        <v>28.899000000000001</v>
      </c>
      <c r="C53">
        <v>19.113</v>
      </c>
      <c r="D53">
        <v>28.9209</v>
      </c>
      <c r="E53" s="3">
        <f t="shared" si="0"/>
        <v>1.1458169832050803E-3</v>
      </c>
    </row>
    <row r="54" spans="1:5" x14ac:dyDescent="0.3">
      <c r="A54" t="s">
        <v>58</v>
      </c>
      <c r="B54">
        <v>31.033100000000001</v>
      </c>
      <c r="C54">
        <v>19.443300000000001</v>
      </c>
      <c r="D54">
        <v>31.0534</v>
      </c>
      <c r="E54" s="3">
        <f t="shared" si="0"/>
        <v>1.0440614504738843E-3</v>
      </c>
    </row>
    <row r="55" spans="1:5" x14ac:dyDescent="0.3">
      <c r="A55" t="s">
        <v>59</v>
      </c>
      <c r="B55">
        <v>27.2209</v>
      </c>
      <c r="C55">
        <v>19.171800000000001</v>
      </c>
      <c r="D55">
        <v>27.243099999999998</v>
      </c>
      <c r="E55" s="3">
        <f t="shared" si="0"/>
        <v>1.1579507401494903E-3</v>
      </c>
    </row>
    <row r="56" spans="1:5" x14ac:dyDescent="0.3">
      <c r="A56" t="s">
        <v>60</v>
      </c>
      <c r="B56">
        <v>27.744</v>
      </c>
      <c r="C56">
        <v>19.172599999999999</v>
      </c>
      <c r="D56">
        <v>27.763300000000001</v>
      </c>
      <c r="E56" s="3">
        <f t="shared" si="0"/>
        <v>1.0066448994920463E-3</v>
      </c>
    </row>
    <row r="57" spans="1:5" x14ac:dyDescent="0.3">
      <c r="A57" t="s">
        <v>61</v>
      </c>
      <c r="B57">
        <v>27.5351</v>
      </c>
      <c r="C57">
        <v>19.243200000000002</v>
      </c>
      <c r="D57">
        <v>27.555399999999999</v>
      </c>
      <c r="E57" s="3">
        <f t="shared" si="0"/>
        <v>1.0549181009394941E-3</v>
      </c>
    </row>
    <row r="58" spans="1:5" x14ac:dyDescent="0.3">
      <c r="A58" t="s">
        <v>62</v>
      </c>
      <c r="B58">
        <v>31.026800000000001</v>
      </c>
      <c r="C58">
        <v>19.222200000000001</v>
      </c>
      <c r="D58">
        <v>31.048400000000001</v>
      </c>
      <c r="E58" s="3">
        <f t="shared" si="0"/>
        <v>1.1237007210412645E-3</v>
      </c>
    </row>
    <row r="59" spans="1:5" x14ac:dyDescent="0.3">
      <c r="A59" t="s">
        <v>63</v>
      </c>
      <c r="B59">
        <v>26.935199999999998</v>
      </c>
      <c r="C59">
        <v>19.249400000000001</v>
      </c>
      <c r="D59">
        <v>26.961600000000001</v>
      </c>
      <c r="E59" s="3">
        <f t="shared" si="0"/>
        <v>1.3714713185866791E-3</v>
      </c>
    </row>
    <row r="60" spans="1:5" x14ac:dyDescent="0.3">
      <c r="A60" t="s">
        <v>64</v>
      </c>
      <c r="B60">
        <v>28.167000000000002</v>
      </c>
      <c r="C60">
        <v>19.312000000000001</v>
      </c>
      <c r="D60">
        <v>28.1892</v>
      </c>
      <c r="E60" s="3">
        <f t="shared" si="0"/>
        <v>1.1495443247720588E-3</v>
      </c>
    </row>
    <row r="61" spans="1:5" x14ac:dyDescent="0.3">
      <c r="A61" t="s">
        <v>65</v>
      </c>
      <c r="B61">
        <v>30.365200000000002</v>
      </c>
      <c r="C61">
        <v>19.228999999999999</v>
      </c>
      <c r="D61">
        <v>30.3842</v>
      </c>
      <c r="E61" s="3">
        <f t="shared" si="0"/>
        <v>9.8809090436311571E-4</v>
      </c>
    </row>
    <row r="62" spans="1:5" x14ac:dyDescent="0.3">
      <c r="A62" t="s">
        <v>66</v>
      </c>
      <c r="B62">
        <v>28.078399999999998</v>
      </c>
      <c r="C62">
        <v>19.8018</v>
      </c>
      <c r="D62">
        <v>28.104800000000001</v>
      </c>
      <c r="E62" s="3">
        <f t="shared" si="0"/>
        <v>1.3332121322305256E-3</v>
      </c>
    </row>
    <row r="63" spans="1:5" x14ac:dyDescent="0.3">
      <c r="A63" t="s">
        <v>67</v>
      </c>
      <c r="B63">
        <v>29.911200000000001</v>
      </c>
      <c r="C63">
        <v>19.812999999999999</v>
      </c>
      <c r="D63">
        <v>29.936699999999998</v>
      </c>
      <c r="E63" s="3">
        <f t="shared" si="0"/>
        <v>1.2870337657092522E-3</v>
      </c>
    </row>
    <row r="64" spans="1:5" x14ac:dyDescent="0.3">
      <c r="A64" t="s">
        <v>68</v>
      </c>
      <c r="B64">
        <v>27.0288</v>
      </c>
      <c r="C64">
        <v>19.819600000000001</v>
      </c>
      <c r="D64">
        <v>27.0562</v>
      </c>
      <c r="E64" s="3">
        <f t="shared" si="0"/>
        <v>1.382469878302291E-3</v>
      </c>
    </row>
    <row r="65" spans="1:5" x14ac:dyDescent="0.3">
      <c r="A65" t="s">
        <v>69</v>
      </c>
      <c r="B65">
        <v>31.041499999999999</v>
      </c>
      <c r="C65">
        <v>19.932400000000001</v>
      </c>
      <c r="D65">
        <v>31.063600000000001</v>
      </c>
      <c r="E65" s="3">
        <f t="shared" si="0"/>
        <v>1.1087475667757914E-3</v>
      </c>
    </row>
    <row r="66" spans="1:5" x14ac:dyDescent="0.3">
      <c r="A66" t="s">
        <v>70</v>
      </c>
      <c r="B66">
        <v>31.284400000000002</v>
      </c>
      <c r="C66">
        <v>19.930599999999998</v>
      </c>
      <c r="D66">
        <v>31.305900000000001</v>
      </c>
      <c r="E66" s="3">
        <f>(D66-B66)/C66</f>
        <v>1.0787432390394485E-3</v>
      </c>
    </row>
    <row r="67" spans="1:5" x14ac:dyDescent="0.3">
      <c r="A67" t="s">
        <v>71</v>
      </c>
      <c r="B67">
        <v>27.044699999999999</v>
      </c>
      <c r="C67">
        <v>20.161000000000001</v>
      </c>
      <c r="D67">
        <v>27.0687</v>
      </c>
      <c r="E67" s="3">
        <f>(D67-B67)/C67</f>
        <v>1.19041714200689E-3</v>
      </c>
    </row>
    <row r="68" spans="1:5" x14ac:dyDescent="0.3">
      <c r="A68" t="s">
        <v>72</v>
      </c>
      <c r="B68">
        <v>27.151800000000001</v>
      </c>
      <c r="C68">
        <v>19.988399999999999</v>
      </c>
      <c r="D68">
        <v>27.170100000000001</v>
      </c>
      <c r="E68" s="3">
        <f>(D68-B68)/C68</f>
        <v>9.1553100798463035E-4</v>
      </c>
    </row>
    <row r="69" spans="1:5" x14ac:dyDescent="0.3">
      <c r="A69" t="s">
        <v>73</v>
      </c>
      <c r="B69">
        <v>27.025600000000001</v>
      </c>
      <c r="C69">
        <v>19.932300000000001</v>
      </c>
      <c r="D69">
        <v>27.0428</v>
      </c>
      <c r="E69" s="3">
        <f t="shared" ref="E69:E99" si="1">(D69-B69)/C69</f>
        <v>8.6292098754278191E-4</v>
      </c>
    </row>
    <row r="70" spans="1:5" x14ac:dyDescent="0.3">
      <c r="A70" t="s">
        <v>74</v>
      </c>
      <c r="B70">
        <v>25.992899999999999</v>
      </c>
      <c r="C70">
        <v>20.145</v>
      </c>
      <c r="D70">
        <v>26.010899999999999</v>
      </c>
      <c r="E70" s="3">
        <f t="shared" si="1"/>
        <v>8.9352196574835855E-4</v>
      </c>
    </row>
    <row r="71" spans="1:5" x14ac:dyDescent="0.3">
      <c r="A71" t="s">
        <v>75</v>
      </c>
      <c r="B71">
        <v>28.1218</v>
      </c>
      <c r="C71">
        <v>19.8948</v>
      </c>
      <c r="D71">
        <v>28.139199999999999</v>
      </c>
      <c r="E71" s="3">
        <f t="shared" si="1"/>
        <v>8.746003980939003E-4</v>
      </c>
    </row>
    <row r="72" spans="1:5" x14ac:dyDescent="0.3">
      <c r="A72" t="s">
        <v>76</v>
      </c>
      <c r="B72">
        <v>26.566500000000001</v>
      </c>
      <c r="C72">
        <v>19.8612</v>
      </c>
      <c r="D72">
        <v>26.584800000000001</v>
      </c>
      <c r="E72" s="3">
        <f t="shared" si="1"/>
        <v>9.2139447767506408E-4</v>
      </c>
    </row>
    <row r="73" spans="1:5" x14ac:dyDescent="0.3">
      <c r="A73" t="s">
        <v>77</v>
      </c>
      <c r="B73">
        <v>27.782900000000001</v>
      </c>
      <c r="C73">
        <v>20.143999999999998</v>
      </c>
      <c r="D73">
        <v>27.799700000000001</v>
      </c>
      <c r="E73" s="3">
        <f t="shared" si="1"/>
        <v>8.3399523431294321E-4</v>
      </c>
    </row>
    <row r="74" spans="1:5" x14ac:dyDescent="0.3">
      <c r="A74" t="s">
        <v>78</v>
      </c>
      <c r="B74">
        <v>29.911300000000001</v>
      </c>
      <c r="C74">
        <v>19.744900000000001</v>
      </c>
      <c r="D74">
        <v>29.939900000000002</v>
      </c>
      <c r="E74" s="3">
        <f t="shared" si="1"/>
        <v>1.4484753024832156E-3</v>
      </c>
    </row>
    <row r="75" spans="1:5" x14ac:dyDescent="0.3">
      <c r="A75" t="s">
        <v>79</v>
      </c>
      <c r="B75">
        <v>28.1204</v>
      </c>
      <c r="C75">
        <v>19.666399999999999</v>
      </c>
      <c r="D75">
        <v>28.146799999999999</v>
      </c>
      <c r="E75" s="3">
        <f t="shared" si="1"/>
        <v>1.3423910832688682E-3</v>
      </c>
    </row>
    <row r="76" spans="1:5" x14ac:dyDescent="0.3">
      <c r="A76" t="s">
        <v>80</v>
      </c>
      <c r="B76">
        <v>27.718050000000002</v>
      </c>
      <c r="C76">
        <v>19.8492</v>
      </c>
      <c r="D76">
        <v>27.808900000000001</v>
      </c>
      <c r="E76" s="3">
        <f t="shared" si="1"/>
        <v>4.577010660379242E-3</v>
      </c>
    </row>
    <row r="77" spans="1:5" x14ac:dyDescent="0.3">
      <c r="A77" t="s">
        <v>81</v>
      </c>
      <c r="B77">
        <v>26.5657</v>
      </c>
      <c r="C77">
        <v>19.884499999999999</v>
      </c>
      <c r="D77">
        <v>26.594200000000001</v>
      </c>
      <c r="E77" s="3">
        <f t="shared" si="1"/>
        <v>1.4332771756896618E-3</v>
      </c>
    </row>
    <row r="78" spans="1:5" x14ac:dyDescent="0.3">
      <c r="A78" t="s">
        <v>82</v>
      </c>
      <c r="B78">
        <v>27.1511</v>
      </c>
      <c r="C78">
        <v>19.757200000000001</v>
      </c>
      <c r="D78">
        <v>27.176400000000001</v>
      </c>
      <c r="E78" s="3">
        <f t="shared" si="1"/>
        <v>1.2805458263317388E-3</v>
      </c>
    </row>
    <row r="79" spans="1:5" x14ac:dyDescent="0.3">
      <c r="A79" t="s">
        <v>83</v>
      </c>
      <c r="B79">
        <v>31.043099999999999</v>
      </c>
      <c r="C79">
        <v>19.838899999999999</v>
      </c>
      <c r="D79">
        <v>31.072800000000001</v>
      </c>
      <c r="E79" s="3">
        <f t="shared" si="1"/>
        <v>1.4970588087042042E-3</v>
      </c>
    </row>
    <row r="80" spans="1:5" x14ac:dyDescent="0.3">
      <c r="A80" t="s">
        <v>84</v>
      </c>
      <c r="B80">
        <v>27.0428</v>
      </c>
      <c r="C80">
        <v>19.835999999999999</v>
      </c>
      <c r="D80">
        <v>27.074300000000001</v>
      </c>
      <c r="E80" s="3">
        <f t="shared" si="1"/>
        <v>1.5880217785844523E-3</v>
      </c>
    </row>
    <row r="81" spans="1:5" x14ac:dyDescent="0.3">
      <c r="A81" t="s">
        <v>85</v>
      </c>
      <c r="B81">
        <v>31.286200000000001</v>
      </c>
      <c r="C81">
        <v>19.787400000000002</v>
      </c>
      <c r="D81">
        <v>31.313700000000001</v>
      </c>
      <c r="E81" s="3">
        <f t="shared" si="1"/>
        <v>1.3897732900734739E-3</v>
      </c>
    </row>
    <row r="82" spans="1:5" x14ac:dyDescent="0.3">
      <c r="A82" t="s">
        <v>86</v>
      </c>
      <c r="B82">
        <v>28.0792</v>
      </c>
      <c r="C82">
        <v>19.5959</v>
      </c>
      <c r="D82">
        <v>28.107199999999999</v>
      </c>
      <c r="E82" s="3">
        <f t="shared" si="1"/>
        <v>1.428870324914839E-3</v>
      </c>
    </row>
    <row r="83" spans="1:5" x14ac:dyDescent="0.3">
      <c r="A83" t="s">
        <v>87</v>
      </c>
      <c r="B83">
        <v>27.334399999999999</v>
      </c>
      <c r="C83">
        <v>19.8629</v>
      </c>
      <c r="D83">
        <v>27.365400000000001</v>
      </c>
      <c r="E83" s="3">
        <f t="shared" si="1"/>
        <v>1.5606985888265237E-3</v>
      </c>
    </row>
    <row r="84" spans="1:5" x14ac:dyDescent="0.3">
      <c r="A84" t="s">
        <v>88</v>
      </c>
      <c r="B84">
        <v>27.031500000000001</v>
      </c>
      <c r="C84">
        <f>(46.9179-B84)</f>
        <v>19.886400000000002</v>
      </c>
      <c r="D84">
        <v>27.0579</v>
      </c>
      <c r="E84" s="3">
        <f t="shared" si="1"/>
        <v>1.3275404296403002E-3</v>
      </c>
    </row>
    <row r="85" spans="1:5" x14ac:dyDescent="0.3">
      <c r="A85" t="s">
        <v>89</v>
      </c>
      <c r="B85">
        <v>25.993300000000001</v>
      </c>
      <c r="C85">
        <v>19.7136</v>
      </c>
      <c r="D85">
        <v>26.024699999999999</v>
      </c>
      <c r="E85" s="3">
        <f t="shared" si="1"/>
        <v>1.59280902524135E-3</v>
      </c>
    </row>
    <row r="86" spans="1:5" x14ac:dyDescent="0.3">
      <c r="A86" t="s">
        <v>90</v>
      </c>
      <c r="B86">
        <v>29.909600000000001</v>
      </c>
      <c r="C86">
        <v>19.8111</v>
      </c>
      <c r="D86">
        <v>29.940799999999999</v>
      </c>
      <c r="E86" s="3">
        <f t="shared" si="1"/>
        <v>1.5748746914607638E-3</v>
      </c>
    </row>
    <row r="87" spans="1:5" x14ac:dyDescent="0.3">
      <c r="A87" t="s">
        <v>91</v>
      </c>
      <c r="B87">
        <v>31.287199999999999</v>
      </c>
      <c r="C87">
        <v>19.825800000000001</v>
      </c>
      <c r="D87">
        <v>31.316800000000001</v>
      </c>
      <c r="E87" s="3">
        <f t="shared" si="1"/>
        <v>1.493004065409823E-3</v>
      </c>
    </row>
    <row r="88" spans="1:5" x14ac:dyDescent="0.3">
      <c r="A88" t="s">
        <v>92</v>
      </c>
      <c r="B88">
        <v>27.027200000000001</v>
      </c>
      <c r="C88">
        <v>19.87</v>
      </c>
      <c r="D88">
        <v>27.057700000000001</v>
      </c>
      <c r="E88" s="3">
        <f t="shared" si="1"/>
        <v>1.5349773527931539E-3</v>
      </c>
    </row>
    <row r="89" spans="1:5" x14ac:dyDescent="0.3">
      <c r="A89" t="s">
        <v>93</v>
      </c>
      <c r="B89">
        <v>28.123899999999999</v>
      </c>
      <c r="C89">
        <v>19.803699999999999</v>
      </c>
      <c r="D89">
        <v>28.154</v>
      </c>
      <c r="E89" s="3">
        <f t="shared" si="1"/>
        <v>1.5199179951221693E-3</v>
      </c>
    </row>
    <row r="90" spans="1:5" x14ac:dyDescent="0.3">
      <c r="A90" t="s">
        <v>94</v>
      </c>
      <c r="B90">
        <v>27.153500000000001</v>
      </c>
      <c r="C90">
        <v>19.783000000000001</v>
      </c>
      <c r="D90">
        <v>27.182700000000001</v>
      </c>
      <c r="E90" s="3">
        <f t="shared" si="1"/>
        <v>1.4760147601475735E-3</v>
      </c>
    </row>
    <row r="91" spans="1:5" x14ac:dyDescent="0.3">
      <c r="A91" t="s">
        <v>95</v>
      </c>
      <c r="B91">
        <v>27.337199999999999</v>
      </c>
      <c r="C91">
        <v>19.785399999999999</v>
      </c>
      <c r="D91">
        <v>27.371099999999998</v>
      </c>
      <c r="E91" s="3">
        <f t="shared" si="1"/>
        <v>1.713384616939721E-3</v>
      </c>
    </row>
    <row r="92" spans="1:5" x14ac:dyDescent="0.3">
      <c r="A92" t="s">
        <v>96</v>
      </c>
      <c r="B92">
        <v>25.9969</v>
      </c>
      <c r="C92">
        <v>19.905200000000001</v>
      </c>
      <c r="D92">
        <v>26.032900000000001</v>
      </c>
      <c r="E92" s="3">
        <f t="shared" si="1"/>
        <v>1.8085726342865866E-3</v>
      </c>
    </row>
    <row r="93" spans="1:5" x14ac:dyDescent="0.3">
      <c r="A93" t="s">
        <v>97</v>
      </c>
      <c r="B93">
        <v>27.042899999999999</v>
      </c>
      <c r="C93">
        <v>19.825700000000001</v>
      </c>
      <c r="D93">
        <v>27.069199999999999</v>
      </c>
      <c r="E93" s="3">
        <f t="shared" si="1"/>
        <v>1.3265609789313417E-3</v>
      </c>
    </row>
    <row r="94" spans="1:5" x14ac:dyDescent="0.3">
      <c r="A94" t="s">
        <v>98</v>
      </c>
      <c r="B94">
        <v>26.569800000000001</v>
      </c>
      <c r="C94">
        <v>19.896599999999999</v>
      </c>
      <c r="D94">
        <v>26.601500000000001</v>
      </c>
      <c r="E94" s="3">
        <f t="shared" si="1"/>
        <v>1.593237035473434E-3</v>
      </c>
    </row>
    <row r="95" spans="1:5" x14ac:dyDescent="0.3">
      <c r="A95" t="s">
        <v>99</v>
      </c>
      <c r="B95">
        <v>28.082799999999999</v>
      </c>
      <c r="C95">
        <v>19.8581</v>
      </c>
      <c r="D95">
        <v>28.113600000000002</v>
      </c>
      <c r="E95" s="3">
        <f t="shared" si="1"/>
        <v>1.5510043760482031E-3</v>
      </c>
    </row>
    <row r="96" spans="1:5" x14ac:dyDescent="0.3">
      <c r="A96" t="s">
        <v>100</v>
      </c>
      <c r="B96">
        <v>31.043299999999999</v>
      </c>
      <c r="C96">
        <v>19.791</v>
      </c>
      <c r="D96">
        <v>31.07488</v>
      </c>
      <c r="E96" s="3">
        <f t="shared" si="1"/>
        <v>1.5956748016776169E-3</v>
      </c>
    </row>
    <row r="97" spans="1:5" x14ac:dyDescent="0.3">
      <c r="A97" t="s">
        <v>101</v>
      </c>
      <c r="B97">
        <v>27.035299999999999</v>
      </c>
      <c r="C97">
        <v>19.909600000000001</v>
      </c>
      <c r="D97">
        <v>27.0639</v>
      </c>
      <c r="E97" s="3">
        <f t="shared" si="1"/>
        <v>1.4364929481255697E-3</v>
      </c>
    </row>
    <row r="98" spans="1:5" x14ac:dyDescent="0.3">
      <c r="A98" t="s">
        <v>102</v>
      </c>
      <c r="B98">
        <v>32.481499999999997</v>
      </c>
      <c r="C98">
        <v>20.095500000000001</v>
      </c>
      <c r="D98">
        <v>32.527500000000003</v>
      </c>
      <c r="E98" s="3">
        <f t="shared" si="1"/>
        <v>2.2890696922199735E-3</v>
      </c>
    </row>
    <row r="99" spans="1:5" x14ac:dyDescent="0.3">
      <c r="A99" t="s">
        <v>103</v>
      </c>
      <c r="B99">
        <v>28.079699999999999</v>
      </c>
      <c r="C99">
        <v>19.869299999999999</v>
      </c>
      <c r="D99">
        <v>28.148199999999999</v>
      </c>
      <c r="E99" s="3">
        <f t="shared" si="1"/>
        <v>3.4475296059750587E-3</v>
      </c>
    </row>
    <row r="100" spans="1:5" x14ac:dyDescent="0.3">
      <c r="A100" t="s">
        <v>104</v>
      </c>
      <c r="B100">
        <v>31.285699999999999</v>
      </c>
      <c r="C100">
        <v>19.700099999999999</v>
      </c>
      <c r="D100">
        <v>31.3371</v>
      </c>
      <c r="E100" s="3">
        <f>(D100-B100)/C100</f>
        <v>2.6091238115543069E-3</v>
      </c>
    </row>
    <row r="101" spans="1:5" x14ac:dyDescent="0.3">
      <c r="A101" t="s">
        <v>105</v>
      </c>
      <c r="B101">
        <v>27.7424</v>
      </c>
      <c r="C101">
        <v>19.491599999999998</v>
      </c>
      <c r="D101">
        <v>27.810199999999998</v>
      </c>
      <c r="E101" s="3">
        <f>(D101-B101)/C101</f>
        <v>3.4784214738655785E-3</v>
      </c>
    </row>
    <row r="102" spans="1:5" x14ac:dyDescent="0.3">
      <c r="A102" t="s">
        <v>106</v>
      </c>
      <c r="B102">
        <v>14.5632</v>
      </c>
      <c r="C102">
        <v>9.6976999999999993</v>
      </c>
      <c r="D102">
        <v>14.5878</v>
      </c>
      <c r="E102" s="3">
        <f>(D102-B102)/C102</f>
        <v>2.5366839559895142E-3</v>
      </c>
    </row>
    <row r="103" spans="1:5" x14ac:dyDescent="0.3">
      <c r="A103" t="s">
        <v>107</v>
      </c>
      <c r="B103">
        <v>27.3337</v>
      </c>
      <c r="C103">
        <v>20.170300000000001</v>
      </c>
      <c r="D103">
        <v>27.398199999999999</v>
      </c>
      <c r="E103" s="3">
        <f>(D103-B103)/C103</f>
        <v>3.1977709801043557E-3</v>
      </c>
    </row>
    <row r="104" spans="1:5" x14ac:dyDescent="0.3">
      <c r="A104" t="s">
        <v>108</v>
      </c>
      <c r="B104">
        <v>27.027000000000001</v>
      </c>
      <c r="C104">
        <v>19.6889</v>
      </c>
      <c r="D104">
        <v>27.094999999999999</v>
      </c>
      <c r="E104" s="3">
        <f>(D104-B104)/C104</f>
        <v>3.4537226559126126E-3</v>
      </c>
    </row>
    <row r="105" spans="1:5" x14ac:dyDescent="0.3">
      <c r="A105" t="s">
        <v>109</v>
      </c>
      <c r="B105">
        <v>27.7864</v>
      </c>
      <c r="C105">
        <v>19.7575</v>
      </c>
      <c r="D105">
        <v>27.854500000000002</v>
      </c>
      <c r="E105" s="3">
        <f>(D105-B105)/C105</f>
        <v>3.446792357332717E-3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Physiochem</vt:lpstr>
      <vt:lpstr>TSS</vt:lpstr>
      <vt:lpstr>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Emerson, Emilia</dc:creator>
  <cp:lastModifiedBy>Emerson, Emilia</cp:lastModifiedBy>
  <dcterms:created xsi:type="dcterms:W3CDTF">2025-09-25T18:38:22Z</dcterms:created>
  <dcterms:modified xsi:type="dcterms:W3CDTF">2025-10-19T15:54:16Z</dcterms:modified>
</cp:coreProperties>
</file>